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540" windowWidth="19440" windowHeight="7530"/>
  </bookViews>
  <sheets>
    <sheet name="Sheet1" sheetId="1" r:id="rId1"/>
    <sheet name="Sheet2" sheetId="4" r:id="rId2"/>
  </sheets>
  <definedNames>
    <definedName name="PTT">Sheet1!$I$8</definedName>
  </definedNames>
  <calcPr calcId="145621"/>
</workbook>
</file>

<file path=xl/calcChain.xml><?xml version="1.0" encoding="utf-8"?>
<calcChain xmlns="http://schemas.openxmlformats.org/spreadsheetml/2006/main">
  <c r="AR100" i="1" l="1"/>
  <c r="AR99" i="1"/>
  <c r="AR98" i="1"/>
  <c r="AR97" i="1"/>
  <c r="BH13" i="1" l="1"/>
  <c r="BA935" i="1" l="1"/>
  <c r="BA934" i="1"/>
  <c r="BF1116" i="1"/>
  <c r="BF1115" i="1"/>
  <c r="BG37" i="1"/>
  <c r="BF37" i="1"/>
  <c r="BE37" i="1"/>
  <c r="BD37" i="1"/>
  <c r="BC37" i="1"/>
  <c r="BB37" i="1"/>
  <c r="BA37" i="1"/>
  <c r="BG36" i="1"/>
  <c r="BF36" i="1"/>
  <c r="BE36" i="1"/>
  <c r="BD36" i="1"/>
  <c r="BC36" i="1"/>
  <c r="BB36" i="1"/>
  <c r="BA36" i="1"/>
  <c r="BG35" i="1"/>
  <c r="BF35" i="1"/>
  <c r="BE35" i="1"/>
  <c r="BD35" i="1"/>
  <c r="BC35" i="1"/>
  <c r="BB35" i="1"/>
  <c r="BA35" i="1"/>
  <c r="BG34" i="1"/>
  <c r="BF34" i="1"/>
  <c r="BE34" i="1"/>
  <c r="BD34" i="1"/>
  <c r="BC34" i="1"/>
  <c r="BB34" i="1"/>
  <c r="BA34" i="1"/>
  <c r="BG33" i="1"/>
  <c r="BF33" i="1"/>
  <c r="BE33" i="1"/>
  <c r="BD33" i="1"/>
  <c r="BC33" i="1"/>
  <c r="BB33" i="1"/>
  <c r="BA33" i="1"/>
  <c r="BG32" i="1"/>
  <c r="BF32" i="1"/>
  <c r="BE32" i="1"/>
  <c r="BD32" i="1"/>
  <c r="BC32" i="1"/>
  <c r="BB32" i="1"/>
  <c r="BA32" i="1"/>
  <c r="BG31" i="1"/>
  <c r="BF31" i="1"/>
  <c r="BE31" i="1"/>
  <c r="BD31" i="1"/>
  <c r="BC31" i="1"/>
  <c r="BB31" i="1"/>
  <c r="BA31" i="1"/>
  <c r="BG30" i="1"/>
  <c r="BF30" i="1"/>
  <c r="BE30" i="1"/>
  <c r="BD30" i="1"/>
  <c r="BC30" i="1"/>
  <c r="BB30" i="1"/>
  <c r="BA30" i="1"/>
  <c r="BG29" i="1"/>
  <c r="BF29" i="1"/>
  <c r="BE29" i="1"/>
  <c r="BD29" i="1"/>
  <c r="BC29" i="1"/>
  <c r="BB29" i="1"/>
  <c r="BA29" i="1"/>
  <c r="BG28" i="1"/>
  <c r="BF28" i="1"/>
  <c r="BE28" i="1"/>
  <c r="BD28" i="1"/>
  <c r="BC28" i="1"/>
  <c r="BB28" i="1"/>
  <c r="BA28" i="1"/>
  <c r="BG27" i="1"/>
  <c r="BF27" i="1"/>
  <c r="BE27" i="1"/>
  <c r="BD27" i="1"/>
  <c r="BC27" i="1"/>
  <c r="BB27" i="1"/>
  <c r="BA27" i="1"/>
  <c r="BG26" i="1"/>
  <c r="BF26" i="1"/>
  <c r="BE26" i="1"/>
  <c r="BD26" i="1"/>
  <c r="BC26" i="1"/>
  <c r="BB26" i="1"/>
  <c r="BA26" i="1"/>
  <c r="BG25" i="1"/>
  <c r="BF25" i="1"/>
  <c r="BE25" i="1"/>
  <c r="BD25" i="1"/>
  <c r="BC25" i="1"/>
  <c r="BB25" i="1"/>
  <c r="BA25" i="1"/>
  <c r="BG24" i="1"/>
  <c r="BF24" i="1"/>
  <c r="BE24" i="1"/>
  <c r="BD24" i="1"/>
  <c r="BC24" i="1"/>
  <c r="BB24" i="1"/>
  <c r="BA24" i="1"/>
  <c r="BG23" i="1"/>
  <c r="BF23" i="1"/>
  <c r="BE23" i="1"/>
  <c r="BD23" i="1"/>
  <c r="BC23" i="1"/>
  <c r="BB23" i="1"/>
  <c r="BA23" i="1"/>
  <c r="BG22" i="1"/>
  <c r="BF22" i="1"/>
  <c r="BE22" i="1"/>
  <c r="BD22" i="1"/>
  <c r="BC22" i="1"/>
  <c r="BB22" i="1"/>
  <c r="BA22" i="1"/>
  <c r="BG21" i="1"/>
  <c r="BF21" i="1"/>
  <c r="BE21" i="1"/>
  <c r="BD21" i="1"/>
  <c r="BC21" i="1"/>
  <c r="BB21" i="1"/>
  <c r="BA21" i="1"/>
  <c r="BG20" i="1"/>
  <c r="BF20" i="1"/>
  <c r="BE20" i="1"/>
  <c r="BD20" i="1"/>
  <c r="BC20" i="1"/>
  <c r="BB20" i="1"/>
  <c r="BA20" i="1"/>
  <c r="BG19" i="1"/>
  <c r="BF19" i="1"/>
  <c r="BE19" i="1"/>
  <c r="BD19" i="1"/>
  <c r="BC19" i="1"/>
  <c r="BB19" i="1"/>
  <c r="BA19" i="1"/>
  <c r="BG18" i="1"/>
  <c r="BF18" i="1"/>
  <c r="BE18" i="1"/>
  <c r="BD18" i="1"/>
  <c r="BC18" i="1"/>
  <c r="BB18" i="1"/>
  <c r="BA18" i="1"/>
  <c r="BG17" i="1"/>
  <c r="BF17" i="1"/>
  <c r="BE17" i="1"/>
  <c r="BD17" i="1"/>
  <c r="BC17" i="1"/>
  <c r="BB17" i="1"/>
  <c r="BA17" i="1"/>
  <c r="BG16" i="1"/>
  <c r="BF16" i="1"/>
  <c r="BE16" i="1"/>
  <c r="BD16" i="1"/>
  <c r="BC16" i="1"/>
  <c r="BB16" i="1"/>
  <c r="BA16" i="1"/>
  <c r="BG15" i="1"/>
  <c r="BF15" i="1"/>
  <c r="BE15" i="1"/>
  <c r="BD15" i="1"/>
  <c r="BC15" i="1"/>
  <c r="BB15" i="1"/>
  <c r="BA15" i="1"/>
  <c r="BG14" i="1"/>
  <c r="BF14" i="1"/>
  <c r="BE14" i="1"/>
  <c r="BD14" i="1"/>
  <c r="BC14" i="1"/>
  <c r="BB14" i="1"/>
  <c r="BA14" i="1"/>
  <c r="BG13" i="1"/>
  <c r="BF13" i="1"/>
  <c r="BE13" i="1"/>
  <c r="BD13" i="1"/>
  <c r="BC13" i="1"/>
  <c r="BB13" i="1"/>
  <c r="BA13" i="1"/>
  <c r="BG12" i="1"/>
  <c r="BF12" i="1"/>
  <c r="BE12" i="1"/>
  <c r="BD12" i="1"/>
  <c r="BC12" i="1"/>
  <c r="BB12" i="1"/>
  <c r="BA12" i="1"/>
  <c r="BG11" i="1"/>
  <c r="BF11" i="1"/>
  <c r="BE11" i="1"/>
  <c r="BD11" i="1"/>
  <c r="BC11" i="1"/>
  <c r="BB11" i="1"/>
  <c r="BA11" i="1"/>
  <c r="BG10" i="1"/>
  <c r="BF10" i="1"/>
  <c r="BE10" i="1"/>
  <c r="BD10" i="1"/>
  <c r="BC10" i="1"/>
  <c r="BB10" i="1"/>
  <c r="BA10" i="1"/>
  <c r="BG9" i="1"/>
  <c r="BF9" i="1"/>
  <c r="BE9" i="1"/>
  <c r="BD9" i="1"/>
  <c r="BC9" i="1"/>
  <c r="BB9" i="1"/>
  <c r="BA9" i="1"/>
  <c r="BG8" i="1"/>
  <c r="BF8" i="1"/>
  <c r="BE8" i="1"/>
  <c r="BD8" i="1"/>
  <c r="BC8" i="1"/>
  <c r="BB8" i="1"/>
  <c r="BA8" i="1"/>
  <c r="BA1120" i="1" l="1"/>
  <c r="AP98" i="1"/>
  <c r="BA4" i="1"/>
  <c r="BH8" i="1" l="1"/>
  <c r="E80" i="1"/>
  <c r="S11" i="1"/>
  <c r="S10" i="1"/>
  <c r="E84" i="1" l="1"/>
  <c r="E83" i="1"/>
  <c r="E81" i="1"/>
  <c r="AD128" i="1" l="1"/>
  <c r="AC128" i="1"/>
  <c r="AB128" i="1"/>
  <c r="AA128" i="1"/>
  <c r="Z128" i="1"/>
  <c r="Y128" i="1"/>
  <c r="X128" i="1"/>
  <c r="W128" i="1"/>
  <c r="V128" i="1"/>
  <c r="U128" i="1"/>
  <c r="T128" i="1"/>
  <c r="S128" i="1"/>
  <c r="R128" i="1"/>
  <c r="Q128" i="1"/>
  <c r="P128" i="1"/>
  <c r="O128" i="1"/>
  <c r="N128" i="1"/>
  <c r="M128" i="1"/>
  <c r="L128" i="1"/>
  <c r="K128" i="1"/>
  <c r="J128" i="1"/>
  <c r="I128" i="1"/>
  <c r="H128" i="1"/>
  <c r="G128" i="1"/>
  <c r="F128" i="1"/>
  <c r="E128" i="1"/>
  <c r="D128" i="1"/>
  <c r="C128" i="1"/>
  <c r="B128" i="1"/>
  <c r="A128" i="1"/>
  <c r="AD127" i="1"/>
  <c r="AC127" i="1"/>
  <c r="AB127" i="1"/>
  <c r="AA127" i="1"/>
  <c r="Z127" i="1"/>
  <c r="Y127" i="1"/>
  <c r="X127" i="1"/>
  <c r="W127" i="1"/>
  <c r="V127" i="1"/>
  <c r="U127" i="1"/>
  <c r="T127" i="1"/>
  <c r="S127" i="1"/>
  <c r="R127" i="1"/>
  <c r="Q127" i="1"/>
  <c r="P127" i="1"/>
  <c r="O127" i="1"/>
  <c r="N127" i="1"/>
  <c r="M127" i="1"/>
  <c r="L127" i="1"/>
  <c r="K127" i="1"/>
  <c r="J127" i="1"/>
  <c r="I127" i="1"/>
  <c r="H127" i="1"/>
  <c r="G127" i="1"/>
  <c r="F127" i="1"/>
  <c r="E127" i="1"/>
  <c r="D127" i="1"/>
  <c r="C127" i="1"/>
  <c r="B127" i="1"/>
  <c r="A127" i="1"/>
  <c r="AD126" i="1"/>
  <c r="AC126" i="1"/>
  <c r="AB126" i="1"/>
  <c r="AA126" i="1"/>
  <c r="Z126" i="1"/>
  <c r="Y126" i="1"/>
  <c r="X126" i="1"/>
  <c r="W126" i="1"/>
  <c r="V126" i="1"/>
  <c r="U126" i="1"/>
  <c r="T126" i="1"/>
  <c r="S126" i="1"/>
  <c r="R126" i="1"/>
  <c r="Q126" i="1"/>
  <c r="P126" i="1"/>
  <c r="O126" i="1"/>
  <c r="N126" i="1"/>
  <c r="M126" i="1"/>
  <c r="L126" i="1"/>
  <c r="K126" i="1"/>
  <c r="J126" i="1"/>
  <c r="I126" i="1"/>
  <c r="H126" i="1"/>
  <c r="G126" i="1"/>
  <c r="F126" i="1"/>
  <c r="E126" i="1"/>
  <c r="D126" i="1"/>
  <c r="C126" i="1"/>
  <c r="B126" i="1"/>
  <c r="A126" i="1"/>
  <c r="AD125" i="1"/>
  <c r="AC125" i="1"/>
  <c r="AB125" i="1"/>
  <c r="AA125" i="1"/>
  <c r="Z125" i="1"/>
  <c r="Y125" i="1"/>
  <c r="X125" i="1"/>
  <c r="W125" i="1"/>
  <c r="V125" i="1"/>
  <c r="U125" i="1"/>
  <c r="T125" i="1"/>
  <c r="S125" i="1"/>
  <c r="R125" i="1"/>
  <c r="Q125" i="1"/>
  <c r="P125" i="1"/>
  <c r="O125" i="1"/>
  <c r="N125" i="1"/>
  <c r="M125" i="1"/>
  <c r="L125" i="1"/>
  <c r="K125" i="1"/>
  <c r="J125" i="1"/>
  <c r="I125" i="1"/>
  <c r="H125" i="1"/>
  <c r="G125" i="1"/>
  <c r="F125" i="1"/>
  <c r="E125" i="1"/>
  <c r="D125" i="1"/>
  <c r="C125" i="1"/>
  <c r="B125" i="1"/>
  <c r="A125" i="1"/>
  <c r="AD104" i="1"/>
  <c r="AC104" i="1"/>
  <c r="AB104" i="1"/>
  <c r="AA104" i="1"/>
  <c r="Z104" i="1"/>
  <c r="Y104" i="1"/>
  <c r="X104" i="1"/>
  <c r="W104" i="1"/>
  <c r="V104" i="1"/>
  <c r="U104" i="1"/>
  <c r="T104" i="1"/>
  <c r="S104" i="1"/>
  <c r="R104" i="1"/>
  <c r="Q104" i="1"/>
  <c r="P104" i="1"/>
  <c r="O104" i="1"/>
  <c r="N104" i="1"/>
  <c r="M104" i="1"/>
  <c r="L104" i="1"/>
  <c r="K104" i="1"/>
  <c r="J104" i="1"/>
  <c r="I104" i="1"/>
  <c r="H104" i="1"/>
  <c r="G104" i="1"/>
  <c r="F104" i="1"/>
  <c r="E104" i="1"/>
  <c r="D104" i="1"/>
  <c r="C104" i="1"/>
  <c r="B104" i="1"/>
  <c r="A104" i="1"/>
  <c r="A103" i="1"/>
  <c r="S103" i="1"/>
  <c r="T103" i="1"/>
  <c r="U103" i="1"/>
  <c r="V103" i="1"/>
  <c r="W103" i="1"/>
  <c r="X103" i="1"/>
  <c r="Y103" i="1"/>
  <c r="Z103" i="1"/>
  <c r="AA103" i="1"/>
  <c r="AB103" i="1"/>
  <c r="AC103" i="1"/>
  <c r="AD103" i="1"/>
  <c r="R103" i="1"/>
  <c r="Q103" i="1"/>
  <c r="P103" i="1"/>
  <c r="O103" i="1"/>
  <c r="N103" i="1"/>
  <c r="M103" i="1"/>
  <c r="L103" i="1"/>
  <c r="K103" i="1"/>
  <c r="J103" i="1"/>
  <c r="I103" i="1"/>
  <c r="H103" i="1"/>
  <c r="G103" i="1"/>
  <c r="F103" i="1"/>
  <c r="E103" i="1"/>
  <c r="D103" i="1"/>
  <c r="C103" i="1"/>
  <c r="B103" i="1"/>
  <c r="E89" i="1"/>
  <c r="E88" i="1"/>
  <c r="E87" i="1"/>
  <c r="E85" i="1"/>
  <c r="F3" i="1"/>
  <c r="F4" i="1"/>
  <c r="H3" i="1"/>
  <c r="A3" i="1"/>
  <c r="D4" i="1"/>
  <c r="E79" i="1"/>
  <c r="BH9" i="1" l="1"/>
  <c r="BH12" i="1"/>
  <c r="BH11" i="1"/>
  <c r="BH10" i="1"/>
</calcChain>
</file>

<file path=xl/sharedStrings.xml><?xml version="1.0" encoding="utf-8"?>
<sst xmlns="http://schemas.openxmlformats.org/spreadsheetml/2006/main" count="1459" uniqueCount="813">
  <si>
    <t>Number of slops</t>
  </si>
  <si>
    <t>Number of pannels</t>
  </si>
  <si>
    <t>Path to save file</t>
  </si>
  <si>
    <t>Pannel Numers</t>
  </si>
  <si>
    <t>Leg sizes</t>
  </si>
  <si>
    <t>Diagnal sizes</t>
  </si>
  <si>
    <t>Horizantal Sizes</t>
  </si>
  <si>
    <t>Bolts</t>
  </si>
  <si>
    <t>Pannel hights</t>
  </si>
  <si>
    <t>Pattern type</t>
  </si>
  <si>
    <t>Num oF bracing connections on leg</t>
  </si>
  <si>
    <t>8- M16 DS</t>
  </si>
  <si>
    <t>2-M16</t>
  </si>
  <si>
    <t>Base width</t>
  </si>
  <si>
    <t>Top Width</t>
  </si>
  <si>
    <t>Num oF bracing connections on bottom diagnal</t>
  </si>
  <si>
    <t>Num oF bracing connections on Diagnal/Top Diagnal</t>
  </si>
  <si>
    <t>X</t>
  </si>
  <si>
    <t>Secound Slope Details</t>
  </si>
  <si>
    <t>Third slope Details</t>
  </si>
  <si>
    <t>Tower hight from hamper to top</t>
  </si>
  <si>
    <t>"</t>
  </si>
  <si>
    <t>Hamper Width</t>
  </si>
  <si>
    <t>Hight up to Hamper</t>
  </si>
  <si>
    <t>Number of pannels on 2st slope</t>
  </si>
  <si>
    <t>Number of pannels on 3st slope</t>
  </si>
  <si>
    <t>PANNEL-1</t>
  </si>
  <si>
    <t>PANNEL-2</t>
  </si>
  <si>
    <t>PANNEL-3</t>
  </si>
  <si>
    <t>PANNEL-4</t>
  </si>
  <si>
    <t>PANNEL-5</t>
  </si>
  <si>
    <t>PANNEL-6</t>
  </si>
  <si>
    <t>PANNEL-7</t>
  </si>
  <si>
    <t>PANNEL-8</t>
  </si>
  <si>
    <t>PANNEL-9</t>
  </si>
  <si>
    <t>PANNEL-10</t>
  </si>
  <si>
    <t>PANNEL-11</t>
  </si>
  <si>
    <t>PANNEL-12</t>
  </si>
  <si>
    <t>PANNEL-13</t>
  </si>
  <si>
    <t>PANNEL-14</t>
  </si>
  <si>
    <t>PANNEL-15</t>
  </si>
  <si>
    <t>PANNEL-16</t>
  </si>
  <si>
    <t>PANNEL-17</t>
  </si>
  <si>
    <t>PANNEL-18</t>
  </si>
  <si>
    <t>PANNEL-19</t>
  </si>
  <si>
    <t>PANNEL-20</t>
  </si>
  <si>
    <t>PANNEL-21</t>
  </si>
  <si>
    <t>PANNEL-22</t>
  </si>
  <si>
    <t>PANNEL-23</t>
  </si>
  <si>
    <t>PANNEL-24</t>
  </si>
  <si>
    <t>PANNEL-25</t>
  </si>
  <si>
    <t>PANNEL-26</t>
  </si>
  <si>
    <t>PANNEL-27</t>
  </si>
  <si>
    <t>PANNEL-28</t>
  </si>
  <si>
    <t>PANNEL-29</t>
  </si>
  <si>
    <t>PANNEL-30</t>
  </si>
  <si>
    <t>1st SLOPE</t>
  </si>
  <si>
    <t>3rd SLOPE</t>
  </si>
  <si>
    <t>1st slope</t>
  </si>
  <si>
    <t>2nd slope</t>
  </si>
  <si>
    <t>3rd slope</t>
  </si>
  <si>
    <t>KPATTERN</t>
  </si>
  <si>
    <t>C</t>
  </si>
  <si>
    <t>.</t>
  </si>
  <si>
    <t>DESIGN NAME</t>
  </si>
  <si>
    <t>L100x100x10</t>
  </si>
  <si>
    <t>12- M16 DS</t>
  </si>
  <si>
    <t>L60x60x6</t>
  </si>
  <si>
    <t>L45x45x5</t>
  </si>
  <si>
    <t>L100x100x8</t>
  </si>
  <si>
    <t>-</t>
  </si>
  <si>
    <t>L90x90x6</t>
  </si>
  <si>
    <t>L75x75x5</t>
  </si>
  <si>
    <t>(defun c:ttt()</t>
  </si>
  <si>
    <t>(defun DTR(x) (* (/ pi 180.0) x))</t>
  </si>
  <si>
    <t>(command "ltscale" 400)</t>
  </si>
  <si>
    <t>(command "dimasz" 25)</t>
  </si>
  <si>
    <t>(command "dimtsz" 25)</t>
  </si>
  <si>
    <t>(command "dimexe" 25)</t>
  </si>
  <si>
    <t>(command "dimexo" 5)</t>
  </si>
  <si>
    <t>(command "dimlwd" 9)</t>
  </si>
  <si>
    <t>(command "dimlwe" 9)</t>
  </si>
  <si>
    <t>(command "dimgap" 1)</t>
  </si>
  <si>
    <t>(command "dimtad" 1)</t>
  </si>
  <si>
    <t>(command "dimtofl" 1)</t>
  </si>
  <si>
    <t>(command "dimtih" 0)</t>
  </si>
  <si>
    <t>(command "dimtoh" 0)</t>
  </si>
  <si>
    <t>(if (and (&gt; tower_hight 5000) (&lt;= tower_hight 20000)) (progn (command "style" "standard" "simplex" 180 "0.8" "" "" "" "") (setq vv 180) (command "dimtxt" 180) (setq tab1 (polar basepoint (DTR 180.0) (+ (/ bww 2) 3000)))  (setq tab2 (polar tab1 (DTR 180.0) 1000)) (setq tab3 (polar tab2 (DTR 180.0) 1000)) (setq tab4 (polar tab3 (DTR 180.0) 1000)) (setq tab5 (polar tab4 (DTR 180.0) 800)) ))</t>
  </si>
  <si>
    <t>(if (and (&gt; tower_hight 20000) (&lt;= tower_hight 40000)) (progn (command "style" "standard" "simplex" 250 "0.8" "" "" "" "") (setq vv 250) (command "dimtxt" 250) (setq tab1 (polar basepoint (DTR 180.0) (+ (/ bww 2) 3000)))  (setq tab2 (polar tab1 (DTR 180.0) 1050)) (setq tab3 (polar tab2 (DTR 180.0) 1050)) (setq tab4 (polar tab3 (DTR 180.0) 1050)) (setq tab5 (polar tab4 (DTR 180.0) 950)) ))</t>
  </si>
  <si>
    <t>(if (and (&gt; tower_hight 40000) (&lt;= tower_hight 60000)) (progn (command "style" "standard" "simplex" 300 "0.8" "" "" "" "") (setq vv 300) (command "dimtxt" 300) (setq tab1 (polar basepoint (DTR 180.0) (+ (/ bww 2) 3000)))  (setq tab2 (polar tab1 (DTR 180.0) 1100)) (setq tab3 (polar tab2 (DTR 180.0) 1100)) (setq tab4 (polar tab3 (DTR 180.0) 1100)) (setq tab5 (polar tab4 (DTR 180.0) 1000)) ))</t>
  </si>
  <si>
    <t>(if (and (&gt; tower_hight 60000) (&lt;= tower_hight 80000)) (progn (command "style" "standard" "simplex" 350 "0.8" "" "" "" "") (setq vv 350) (command "dimtxt" 350) (setq tab1 (polar basepoint (DTR 180.0) (+ (/ bww 2) 3000)))  (setq tab2 (polar tab1 (DTR 180.0) 1150)) (setq tab3 (polar tab2 (DTR 180.0) 1150)) (setq tab4 (polar tab3 (DTR 180.0) 1150)) (setq tab5 (polar tab4 (DTR 180.0) 1050)) ))</t>
  </si>
  <si>
    <t>(if (and (&gt; tower_hight 80000) (&lt;= tower_hight 90000)) (progn (command "style" "standard" "simplex" 400 "0.8" "" "" "" "") (setq vv 400) (command "dimtxt" 400) (setq tab1 (polar basepoint (DTR 180.0) (+ (/ bww 2) 3000)))  (setq tab2 (polar tab1 (DTR 180.0) 1250)) (setq tab3 (polar tab2 (DTR 180.0) 1250)) (setq tab4 (polar tab3 (DTR 180.0) 1250)) (setq tab5 (polar tab4 (DTR 180.0) 1150)) ))</t>
  </si>
  <si>
    <t>(setq tab_end1 (polar tab1 (DTR 270.0) 3500))</t>
  </si>
  <si>
    <t>(setq tab_end2 (polar tab5 (DTR 270.0) 3500))</t>
  </si>
  <si>
    <t>(command "line" tab1 (polar tab1 (DTR 270.0) 3500) "")</t>
  </si>
  <si>
    <t>(command "line" tab2 (polar tab2 (DTR 270.0) 3500) "")</t>
  </si>
  <si>
    <t>(command "line" tab3 (polar tab3 (DTR 270.0) 3500) "")</t>
  </si>
  <si>
    <t>(command "line" tab4 (polar tab4 (DTR 270.0) 3500) "")</t>
  </si>
  <si>
    <t>(command "line" tab5 (polar tab5 (DTR 270.0) 3500) "")</t>
  </si>
  <si>
    <t>(command "line" tab_end1 tab_end2 "")</t>
  </si>
  <si>
    <t>(command "line" tab1 tab5 "")</t>
  </si>
  <si>
    <t>(command "TEXT" (polar tab5 (DTR 280.0) 3230) "90" "PANEL No.S")</t>
  </si>
  <si>
    <t>(command "TEXT" (polar tab4 (DTR 280.0) 3245) "90" "MAIN LEGS")</t>
  </si>
  <si>
    <t>(command "TEXT" (polar tab3 (DTR 280.0) 3245) "90" "DIAGONALS")</t>
  </si>
  <si>
    <t>(command "TEXT" (polar tab2 (DTR 280.0) 3245) "90" "HORIZONTALS")</t>
  </si>
  <si>
    <t>(setq dime_start (polar basepoint (DTR 180.0) (+ (/ bww 2) 800)))</t>
  </si>
  <si>
    <t>(setq index 0)</t>
  </si>
  <si>
    <t>(setq st dime_start)</t>
  </si>
  <si>
    <t>(setq index (1+ index))</t>
  </si>
  <si>
    <t>(setq dis (eval (read (strcat "pnum" (rtos index 2 0)))))</t>
  </si>
  <si>
    <t>(setq end (polar st (DTR 90.0) dis))</t>
  </si>
  <si>
    <t>(setq tab1_end (polar tab1 (DTR 90.0) dis))</t>
  </si>
  <si>
    <t>(setq tab2_end (polar tab2 (DTR 90.0) dis))</t>
  </si>
  <si>
    <t>(setq tab3_end (polar tab3 (DTR 90.0) dis))</t>
  </si>
  <si>
    <t>(setq tab4_end (polar tab4 (DTR 90.0) dis))</t>
  </si>
  <si>
    <t>(setq tab5_end (polar tab5 (DTR 90.0) dis))</t>
  </si>
  <si>
    <t xml:space="preserve">(command "dim1" "ver" st end (polar st (DTR 180.0) 1000) dis) </t>
  </si>
  <si>
    <t xml:space="preserve">(command "line" tab1 tab1_end "") </t>
  </si>
  <si>
    <t xml:space="preserve">(command "line" tab2 tab2_end "") </t>
  </si>
  <si>
    <t xml:space="preserve">(command "line" tab3 tab3_end "") </t>
  </si>
  <si>
    <t>(command "line" tab4 tab4_end "")</t>
  </si>
  <si>
    <t>(command "line" tab5 tab5_end "")</t>
  </si>
  <si>
    <t>(command "line" tab1_end tab5_end "")</t>
  </si>
  <si>
    <t>(setq pnum (polar tab5_end (DTR 0.0) (* (distance tab5 tab4) 0.7)))</t>
  </si>
  <si>
    <t>(command "TEXT" (polar pnum (DTR 270.0) (/ dis 2)) "90" index)</t>
  </si>
  <si>
    <t>(setq t_1 (eval (read (strcat "t" (rtos index 2 0)))))</t>
  </si>
  <si>
    <t>(setq t_2 (eval (read (strcat "t" (rtos index 2 0) "_1" ))))</t>
  </si>
  <si>
    <t>(setq t_3 (eval (read (strcat "tt" (rtos index 2 0)))))</t>
  </si>
  <si>
    <t>(setq t_4 (eval (read (strcat "tt" (rtos index 2 0) "_1" ))))</t>
  </si>
  <si>
    <t>(setq t_5 (eval (read (strcat "ttt" (rtos index 2 0)))))</t>
  </si>
  <si>
    <t>(setq t_6 (eval (read (strcat "ttt" (rtos index 2 0) "_1" ))))</t>
  </si>
  <si>
    <t>(if (= vv 180) (progn (setq cl1 (/ (- dis 1825) 2)) (setq cl2 (/ (- dis 1370) 2)) (setq cl3 (/ (- dis 866) 2))))</t>
  </si>
  <si>
    <t>(if (= vv 250) (progn (setq cl1 (/ (- dis 2032) 2)) (setq cl2 (/ (- dis 1521) 2)) (setq cl3 (/ (- dis 953) 2))))</t>
  </si>
  <si>
    <t>(if (= vv 300) (progn (setq cl1 (/ (- dis 2435) 2)) (setq cl2 (/ (- dis 1829) 2)) (setq cl3 (/ (- dis 1151) 2))))</t>
  </si>
  <si>
    <t>(if (= vv 400) (progn (setq cl1 (/ (- dis 3246) 2)) (setq cl2 (/ (- dis 2439) 2)) (setq cl3 (/ (- dis 1529) 2))))</t>
  </si>
  <si>
    <t>(setq tmp1 (polar tab4 (DTR 0.0) (* (/ (distance tab3 tab4) 2) 0.75)))</t>
  </si>
  <si>
    <t>(setq tmp2 (polar tab4 (DTR 0.0) (* (distance tab3 tab4) 0.8)))</t>
  </si>
  <si>
    <t>(command "TEXT" (polar tmp1 (DTR 90.0) cl1) "90" t_1)</t>
  </si>
  <si>
    <t>(command "TEXT" (polar tmp2 (DTR 90.0) cl2) "90" t_2)</t>
  </si>
  <si>
    <t>(setq tmp3 (polar tab3 (DTR 0.0) (* (/ (distance tab3 tab2) 2) 0.75)))</t>
  </si>
  <si>
    <t>(setq tmp4 (polar tab3 (DTR 0.0) (* (distance tab3 tab2)  0.8)))</t>
  </si>
  <si>
    <t>(command "TEXT" (polar tmp3 (DTR 90.0) cl1) "90" t_3)</t>
  </si>
  <si>
    <t>(command "TEXT" (polar tmp4 (DTR 90.0) cl3) "90" t_4)</t>
  </si>
  <si>
    <t>(setq tmp5 (polar tab2 (DTR 0.0) (* (/ (distance tab2 tab1) 2) 0.75)))</t>
  </si>
  <si>
    <t>(setq tmp6 (polar tab2 (DTR 0.0) (* (distance tab2 tab1) 0.8)))</t>
  </si>
  <si>
    <t>(command "TEXT" (polar tmp5 (DTR 90.0) cl1) "90" t_5)</t>
  </si>
  <si>
    <t>(command "TEXT" (polar tmp6 (DTR 90.0) cl3) "90" t_6)</t>
  </si>
  <si>
    <t>(setq st end)</t>
  </si>
  <si>
    <t>(setq tab1 tab1_end)</t>
  </si>
  <si>
    <t>(setq tab2 tab2_end)</t>
  </si>
  <si>
    <t>(setq tab3 tab3_end)</t>
  </si>
  <si>
    <t>(setq tab4 tab4_end)</t>
  </si>
  <si>
    <t>(setq tab5 tab5_end)</t>
  </si>
  <si>
    <t>)</t>
  </si>
  <si>
    <t>(command "dim1" "ver" dime_start st (polar st (DTR 180.0) 1500) (strcat (rtos(/ tower_hight 1000) 2 0) " Tower"))</t>
  </si>
  <si>
    <t>tower</t>
  </si>
  <si>
    <t>(repeat npanelss</t>
  </si>
  <si>
    <t>(command "dim1" "hor" pt1 pt2 (polar pt1 (DTR 90.0) 500) tower_top)</t>
  </si>
  <si>
    <t>(setq ptm1 (polar basepoint (DTR 180.0) (/ bww 2)))</t>
  </si>
  <si>
    <t>(setq ptm2 (polar basepoint (DTR 0.0) (/ bww 2)))</t>
  </si>
  <si>
    <t>(command "dim1" "hor" ptm1 ptm2(polar pt1 (DTR 180.0) 500) bww)</t>
  </si>
  <si>
    <t>C:\Users\ktvr\Desktop\SLD</t>
  </si>
  <si>
    <t xml:space="preserve">(defun dtr(x) (* (/ pi 180.0) x)) </t>
  </si>
  <si>
    <t>(defun rtd(x) (* (/ 180 pi) x))</t>
  </si>
  <si>
    <t>(defun mirr() (command "mirror" "l" "" hc basepoint ""))</t>
  </si>
  <si>
    <t>(defun mirr1() (command "mirror" "l" "" startpt2 startpt1 "y"))</t>
  </si>
  <si>
    <t xml:space="preserve">(defun cen() (command "layer" "s" "cen" ""))  </t>
  </si>
  <si>
    <t xml:space="preserve">(defun mem() (command "layer" "s" "mem" ""))  </t>
  </si>
  <si>
    <t xml:space="preserve">(defun das() (command "layer" "s" "das" "")) </t>
  </si>
  <si>
    <t>(defun hid() (command "chprop" "l" "" "p" "lt" "hidden" ""))</t>
  </si>
  <si>
    <t xml:space="preserve">(defun des() (command "layer" "s" "des" ""))  </t>
  </si>
  <si>
    <t>(defun eqbeltupdown()</t>
  </si>
  <si>
    <t xml:space="preserve">(defun changexit () </t>
  </si>
  <si>
    <t>(defun leg2xb0xt0()</t>
  </si>
  <si>
    <t>(defun leg2xb2xt0()</t>
  </si>
  <si>
    <t>(defun leg2xb2xt2()</t>
  </si>
  <si>
    <t>(defun leg3xb2xt0()</t>
  </si>
  <si>
    <t>(defun leg3xb2xt2()</t>
  </si>
  <si>
    <t>(defun leg3xb3xt2()</t>
  </si>
  <si>
    <t>(defun leg4xb2xt2()</t>
  </si>
  <si>
    <t>(defun leg4xb3xt2()</t>
  </si>
  <si>
    <t>(defun leg4xb4xt2()</t>
  </si>
  <si>
    <t>(defun leg2a2()</t>
  </si>
  <si>
    <t>(defun leg2a3()</t>
  </si>
  <si>
    <t>(defun leg3a3()</t>
  </si>
  <si>
    <t>(defun leg2a4()</t>
  </si>
  <si>
    <t>(defun settings()</t>
  </si>
  <si>
    <t>(defun x-arms()</t>
  </si>
  <si>
    <t>(defun c:tower()</t>
  </si>
  <si>
    <t>(defun c:body()</t>
  </si>
  <si>
    <t>(defun c:leg()</t>
  </si>
  <si>
    <t>(defun c:clear()</t>
  </si>
  <si>
    <t>(if (= vv 180) (progn (setq cl1 (/ (- dis 1300) 2)) (setq cl2 (/ (- dis 1000) 2)) (setq cl3 (/ (- dis 700) 2))))</t>
  </si>
  <si>
    <t>(command "dim1" "hor" ptm1 ptm2 (polar ptm1 (DTR 270.0) 500) bww)</t>
  </si>
  <si>
    <t>(command "TEXT" "J" "C" (polar basepoint (DTR 270.0) 1200) "0" "EXISTING TOWER")</t>
  </si>
  <si>
    <t>(command "TEXT" "J" "C" (polar basepoint (DTR 270.0) 1600) "0" (strcat "DESIGN NAME:" designname))</t>
  </si>
  <si>
    <t>SLD_TEST</t>
  </si>
  <si>
    <t>(command "_plot" "y" "model" "jpeg.pc5" "XGA (1024.00 x 768.00 Pixels)" "p" "n" "w" p1 p2 "fit" "c" "y" "rccdwg.ctb" "n" "a" "</t>
  </si>
  <si>
    <t>.jpg" "n" "y")</t>
  </si>
  <si>
    <t>(command "_wblock" "</t>
  </si>
  <si>
    <t>.dwg" "" basepoint "all" "")</t>
  </si>
  <si>
    <t>TTT</t>
  </si>
  <si>
    <t>(setq t1 "L100x100x10")</t>
  </si>
  <si>
    <t>(setq t2 "L100x100x8")</t>
  </si>
  <si>
    <t>(setq t3 "L100x100x8")</t>
  </si>
  <si>
    <t>(setq t4 "L90x90x6")</t>
  </si>
  <si>
    <t>(setq t5 "L90x90x6")</t>
  </si>
  <si>
    <t>(setq t6 "L90x90x6")</t>
  </si>
  <si>
    <t>(setq t7 "L90x90x6")</t>
  </si>
  <si>
    <t>(setq t8 "L75x75x5")</t>
  </si>
  <si>
    <t>(setq t9 "L75x75x5")</t>
  </si>
  <si>
    <t>(setq t10 "L75x75x5")</t>
  </si>
  <si>
    <t>(setq t11 "L75x75x5")</t>
  </si>
  <si>
    <t/>
  </si>
  <si>
    <t>(setq t1_1 "12- M16 DS")</t>
  </si>
  <si>
    <t>(setq t2_1 "12- M16 DS")</t>
  </si>
  <si>
    <t>(setq t3_1 "-")</t>
  </si>
  <si>
    <t>(setq t4_1 "8- M16 DS")</t>
  </si>
  <si>
    <t>(setq t5_1 "-")</t>
  </si>
  <si>
    <t>(setq t6_1 "8- M16 DS")</t>
  </si>
  <si>
    <t>(setq t7_1 "-")</t>
  </si>
  <si>
    <t>(setq t8_1 "8- M16 DS")</t>
  </si>
  <si>
    <t>(setq t9_1 "-")</t>
  </si>
  <si>
    <t>(setq t10_1 "-")</t>
  </si>
  <si>
    <t>(setq t11_1 "-")</t>
  </si>
  <si>
    <t>(setq tt1 "L60x60x6")</t>
  </si>
  <si>
    <t>(setq tt2 "L45x45x5")</t>
  </si>
  <si>
    <t>(setq tt3 "L45x45x5")</t>
  </si>
  <si>
    <t>(setq tt4 "L45x45x5")</t>
  </si>
  <si>
    <t>(setq tt5 "L45x45x5")</t>
  </si>
  <si>
    <t>(setq tt6 "L45x45x5")</t>
  </si>
  <si>
    <t>(setq tt7 "L45x45x5")</t>
  </si>
  <si>
    <t>(setq tt8 "L45x45x5")</t>
  </si>
  <si>
    <t>(setq tt9 "L45x45x5")</t>
  </si>
  <si>
    <t>(setq tt10 "L45x45x5")</t>
  </si>
  <si>
    <t>(setq tt11 "L45x45x5")</t>
  </si>
  <si>
    <t>(setq tt1_1 "2-M16")</t>
  </si>
  <si>
    <t>(setq tt2_1 "2-M16")</t>
  </si>
  <si>
    <t>(setq tt3_1 "2-M16")</t>
  </si>
  <si>
    <t>(setq tt4_1 "2-M16")</t>
  </si>
  <si>
    <t>(setq tt5_1 "2-M16")</t>
  </si>
  <si>
    <t>(setq tt6_1 "2-M16")</t>
  </si>
  <si>
    <t>(setq tt7_1 "2-M16")</t>
  </si>
  <si>
    <t>(setq tt8_1 "2-M16")</t>
  </si>
  <si>
    <t>(setq tt9_1 "2-M16")</t>
  </si>
  <si>
    <t>(setq tt10_1 "2-M16")</t>
  </si>
  <si>
    <t>(setq tt11_1 "2-M16")</t>
  </si>
  <si>
    <t>(setq ttt1 "L45x45x5")</t>
  </si>
  <si>
    <t>(setq ttt2 "-")</t>
  </si>
  <si>
    <t>(setq ttt3 "-")</t>
  </si>
  <si>
    <t>(setq ttt4 "-")</t>
  </si>
  <si>
    <t>(setq ttt5 "-")</t>
  </si>
  <si>
    <t>(setq ttt6 "L45x45x5")</t>
  </si>
  <si>
    <t>(setq ttt7 "-")</t>
  </si>
  <si>
    <t>(setq ttt8 "L45x45x5")</t>
  </si>
  <si>
    <t>(setq ttt9 "-")</t>
  </si>
  <si>
    <t>(setq ttt10 "L45x45x5")</t>
  </si>
  <si>
    <t>(setq ttt11 "L45x45x5")</t>
  </si>
  <si>
    <t>(setq ttt1_1 "2-M16")</t>
  </si>
  <si>
    <t>(setq ttt6_1 "2-M16")</t>
  </si>
  <si>
    <t>(setq ttt7_1 "2-M16")</t>
  </si>
  <si>
    <t>(setq ttt8_1 "2-M16")</t>
  </si>
  <si>
    <t>(setq ttt9_1 "2-M16")</t>
  </si>
  <si>
    <t>(setq ttt11_1 "2-M16")</t>
  </si>
  <si>
    <t>(setq pnum1 3000)</t>
  </si>
  <si>
    <t>(setq pnum2 1500)</t>
  </si>
  <si>
    <t>(setq pnum3 1500)</t>
  </si>
  <si>
    <t>(setq pnum4 1500)</t>
  </si>
  <si>
    <t>(setq pnum5 1500)</t>
  </si>
  <si>
    <t>(setq pnum6 1500)</t>
  </si>
  <si>
    <t>(setq pnum7 1500)</t>
  </si>
  <si>
    <t>(setq pnum8 1500)</t>
  </si>
  <si>
    <t>(setq pnum9 1500)</t>
  </si>
  <si>
    <t>(setq pnum10 1500)</t>
  </si>
  <si>
    <t>(setq pnum11 1500)</t>
  </si>
  <si>
    <t>(setq npanelss 11)</t>
  </si>
  <si>
    <t>(setq tower_hight 18000)</t>
  </si>
  <si>
    <t>(setq tower_top 1500)</t>
  </si>
  <si>
    <t>(setq bw 2150)</t>
  </si>
  <si>
    <t>(setq noofslps 2)</t>
  </si>
  <si>
    <t>(setq pltt1_temp (polar basepoint (DTR 270.0) 2000))</t>
  </si>
  <si>
    <t>(setq pltt1 (polar pltt1_temp (DTR 0.0) bww))</t>
  </si>
  <si>
    <t>(setq pltt2_temp (polar tab5_end (DTR 90.0) 1000))</t>
  </si>
  <si>
    <t>(setq pltt2 (polar pltt2_temp (DTR 0.0) 1000))</t>
  </si>
  <si>
    <t>(setq pt7ref (polar intpt pi bww))</t>
  </si>
  <si>
    <t>(setq pt7 (inters pt1 pt5 intpt pt7ref))</t>
  </si>
  <si>
    <t>(setq beltn1 (polar pt7 0 (/ (distance pt7 intpt) 2.0)))</t>
  </si>
  <si>
    <t>(setq pt8 (polar pt7 0 (* 2.0 (distance pt7 intpt))))</t>
  </si>
  <si>
    <t>(des)(command "line" pt7 pt8 "")</t>
  </si>
  <si>
    <t>(setq dsttemp (distance pt1 pt7))</t>
  </si>
  <si>
    <t>(if (/= bbnd 0)</t>
  </si>
  <si>
    <t>(progn</t>
  </si>
  <si>
    <t>(setq sldst (/ (distance pt1 pt7) bbnd))</t>
  </si>
  <si>
    <t>(setq sldstref sldst)</t>
  </si>
  <si>
    <t>(setq ind8 0)</t>
  </si>
  <si>
    <t>(repeat (- (+ bbnd abnd) 1)</t>
  </si>
  <si>
    <t>(setq ind8 (1+ ind8))</t>
  </si>
  <si>
    <t>(if (/= ind8 bbnd) (setq slnod (polar pt1 (angle pt1 pt5) sldst)))</t>
  </si>
  <si>
    <t>(if (&gt;= ind8 bbnd) (setq slnod (polar pt7 (angle pt1 pt5) sldst)))</t>
  </si>
  <si>
    <t>(if (= ind8 1) (setq sln1 slnod))</t>
  </si>
  <si>
    <t>(if (= ind8 2) (setq sln2 slnod))</t>
  </si>
  <si>
    <t>(if (= ind8 3) (setq sln3 slnod))</t>
  </si>
  <si>
    <t>(if (= ind8 4) (setq sln4 slnod))</t>
  </si>
  <si>
    <t>(if (= ind8 5) (setq sln5 slnod))</t>
  </si>
  <si>
    <t>(if (= ind8 6) (setq sln6 slnod))</t>
  </si>
  <si>
    <t>(if (= ind8 7) (setq sln7 slnod))</t>
  </si>
  <si>
    <t>(setq sldst (+ sldst sldstref))</t>
  </si>
  <si>
    <t xml:space="preserve">(if (= ind8 bbnd) </t>
  </si>
  <si>
    <t>(setq sldst (/ (distance pt7 pt5) abnd))</t>
  </si>
  <si>
    <t>(setq sldstref sldst)))))))</t>
  </si>
  <si>
    <t>(initget 1 "C X")</t>
  </si>
  <si>
    <t>(setq cx (getkword "\nChange / eXit &lt; C / X &gt; :"))</t>
  </si>
  <si>
    <t xml:space="preserve">(if (= cx "X") </t>
  </si>
  <si>
    <t xml:space="preserve">(progn </t>
  </si>
  <si>
    <t>(setq loop nil index1 nil beltn1 nil mid1 nil mid2 nil mid3 nil ln1 nil</t>
  </si>
  <si>
    <t>ln2 nil ln3 nil ln4 nil xbn1 nil xbn2 nil xbn3 nil xbn4 nil</t>
  </si>
  <si>
    <t>xtn1 nil xtn2 nil xtn3 nil xtn4 nil xtn5 nil sln1 nil sln2 nil</t>
  </si>
  <si>
    <t>sln3 nil sln4 nil an1 nil an2 nil an3 nil an4 nil an5 nil an6 nil</t>
  </si>
  <si>
    <t>an7 nil an8 nil an9 nil an10 nil ))))</t>
  </si>
  <si>
    <t>(if (and (and (= ndl 2) (= ndbd 0) (= ndtd 0)))</t>
  </si>
  <si>
    <t>(setq loop "XX")</t>
  </si>
  <si>
    <t>(setq index1 0)</t>
  </si>
  <si>
    <t>(while loop</t>
  </si>
  <si>
    <t>(setq index1 (1+ index1))</t>
  </si>
  <si>
    <t>(des)</t>
  </si>
  <si>
    <t>(if (= index1 1) (progn (command "line" ln1 intpt "")(mirr)))</t>
  </si>
  <si>
    <t>(if (= index1 2) (progn (setq abnd 0) (setq bbnd 0) (eqbeltupdown)))</t>
  </si>
  <si>
    <t>(prompt "\n2 patterns are available.")</t>
  </si>
  <si>
    <t>(changexit)</t>
  </si>
  <si>
    <t>(if (= cx "C") (command "undo" "2"))</t>
  </si>
  <si>
    <t>(if (= index1 2) (setq index1 0))))))</t>
  </si>
  <si>
    <t>(if (and (and (= ndl 2) (= ndbd 2) (= ndtd 0)))</t>
  </si>
  <si>
    <t>(setq abnd 0)</t>
  </si>
  <si>
    <t>(setq bbnd 0)</t>
  </si>
  <si>
    <t>(eqbeltupdown)</t>
  </si>
  <si>
    <t>(command "line" pt7 xbn1 "")(mirr))))</t>
  </si>
  <si>
    <t>(if (and (and (= ndbd 2) (= ndtd 2) (= ndl 2)))</t>
  </si>
  <si>
    <t xml:space="preserve">(des) </t>
  </si>
  <si>
    <t>(if (= index1 1) (command "line" xbn1 xtn1 ""))</t>
  </si>
  <si>
    <t>(if (= index1 2) (command "line" ln1 intpt ""))</t>
  </si>
  <si>
    <t>(mirr)</t>
  </si>
  <si>
    <t>(if (/= index1 3)</t>
  </si>
  <si>
    <t>(command "line" xtn1 ln1 "")(mirr)</t>
  </si>
  <si>
    <t>(command "line" ln1 xbn1 "")(mirr)))</t>
  </si>
  <si>
    <t>(if (= index1 3)</t>
  </si>
  <si>
    <t>(setq abnd 0) (setq bbnd 0) (eqbeltupdown)</t>
  </si>
  <si>
    <t>(des) (command "line" pt7 xbn1 "")(mirr)</t>
  </si>
  <si>
    <t>(command "line" pt7 xtn1 "")(mirr)))</t>
  </si>
  <si>
    <t>(prompt "\n3 patterns available.")</t>
  </si>
  <si>
    <t>(if (= cx "C") (command "undo" "6"))</t>
  </si>
  <si>
    <t>(if (= index1 3) (setq index1 0))))))</t>
  </si>
  <si>
    <t>(if (and (and (= ndl 3) (= ndbd 2) (= ndtd 0)))</t>
  </si>
  <si>
    <t>(progn (setq abnd 0) (setq bbnd 2)(eqbeltupdown)</t>
  </si>
  <si>
    <t>(des) (command "line" sln1 xbn1 "")(mirr)</t>
  </si>
  <si>
    <t>(command "line" xbn1 pt7 "")(mirr))))</t>
  </si>
  <si>
    <t>(if (and (and (= ndl 3) (= ndbd 2) (= ndtd 2)))</t>
  </si>
  <si>
    <t>(if (or (= index1 1) (= index1 3)) (command "line" xbn1 ln2 ""))</t>
  </si>
  <si>
    <t>(if (= index1 2) (command "line" xtn1 ln1 ""))</t>
  </si>
  <si>
    <t>(if (= index1 3) (progn (command "line" ln2 intpt "")(mirr)))</t>
  </si>
  <si>
    <t>(if (and (/= index1 3) (/= index1 4))</t>
  </si>
  <si>
    <t>(progn (command "line" xbn1 xtn1 "")(mirr)))</t>
  </si>
  <si>
    <t>(if (/= index1 4)</t>
  </si>
  <si>
    <t>(command "line" ln1 xbn1 "")(mirr)</t>
  </si>
  <si>
    <t>(command "line" ln2 xtn1 "")(mirr)))</t>
  </si>
  <si>
    <t>(if (= index1 4)</t>
  </si>
  <si>
    <t>(command "line" xbn1 pt7 "")(mirr)</t>
  </si>
  <si>
    <t>(prompt "\n4 ptterns available.")</t>
  </si>
  <si>
    <t>(if (= cx "C") (command "undo" "8"))</t>
  </si>
  <si>
    <t>(if (= index1 4) (setq index1 0)) ))))</t>
  </si>
  <si>
    <t>(if (and (and (= ndl 3) (= ndbd 3) (= ndtd 2)))</t>
  </si>
  <si>
    <t>(if (= index1 1) (command "line" ln1 xbn2 ""))</t>
  </si>
  <si>
    <t>(if (= index1 2) (command "line" xbn1 ln2 ""))</t>
  </si>
  <si>
    <t>(command "line" xbn1 ln1 "")(mirr)</t>
  </si>
  <si>
    <t>(command "line" xbn2 ln2 "")(mirr)</t>
  </si>
  <si>
    <t>(command "line" ln2 xtn1 "")(mirr)</t>
  </si>
  <si>
    <t>(command "line" xtn1 xbn2 "")(mirr)</t>
  </si>
  <si>
    <t xml:space="preserve">(prompt "\nAvailable patterns are 2 nos.")        </t>
  </si>
  <si>
    <t>(if (= cx "C") (command "undo" "12"))</t>
  </si>
  <si>
    <t>(if (= index1 2) (setq index1 0)) ))))</t>
  </si>
  <si>
    <t>(if (and (and (= ndl 4) (= ndbd 2) (= ndtd 2)))</t>
  </si>
  <si>
    <t>(if (= index1 1)</t>
  </si>
  <si>
    <t>(command "line" xtn1 ln2 "")</t>
  </si>
  <si>
    <t>(command "line" xbn1 xtn1 "")</t>
  </si>
  <si>
    <t>(mirr)))</t>
  </si>
  <si>
    <t>(if (= index1 2)</t>
  </si>
  <si>
    <t>(setq mid1 (polar ln2 (angle ln2 intpt) (/ (distance ln2 intpt) 2.0)))</t>
  </si>
  <si>
    <t>(command "line" ln2 intpt "")</t>
  </si>
  <si>
    <t>(command "line" ln3 mid1 "")</t>
  </si>
  <si>
    <t>(command "line" mid1 xtn1 "")</t>
  </si>
  <si>
    <t xml:space="preserve">(mirr)))            </t>
  </si>
  <si>
    <t>(command "line" xbn1 ln1 "")</t>
  </si>
  <si>
    <t xml:space="preserve">(mirr)               </t>
  </si>
  <si>
    <t>(command "line" ln2 xbn1 "")</t>
  </si>
  <si>
    <t>(command "line" xtn1 ln3 "")</t>
  </si>
  <si>
    <t>(if (or (= index1 3) (= index1 4))</t>
  </si>
  <si>
    <t xml:space="preserve">(progn (setq abnd 2) (setq bbnd 2) </t>
  </si>
  <si>
    <t>(command "line" sln1 xbn1 "")</t>
  </si>
  <si>
    <t>(command "line" xbn1 pt7 "")</t>
  </si>
  <si>
    <t>(command "line" xtn1 sln3 "")</t>
  </si>
  <si>
    <t>(progn (command "line" pt7 xtn1 "")(mirr))</t>
  </si>
  <si>
    <t>(progn (command "line" xtn1 beltn1 "")(mirr) (command "line" beltn1 sln3 "")(mirr)))))</t>
  </si>
  <si>
    <t>(prompt "\n4 patterns available.")</t>
  </si>
  <si>
    <t>(if (and (= cx "C") (/= index1 3))(command "undo" "12"))</t>
  </si>
  <si>
    <t>(if (and (= cx "C") (= index1 3))(command "undo" "10"))</t>
  </si>
  <si>
    <t>(if (= index1 4) (setq index1 0))))))</t>
  </si>
  <si>
    <t>(if (and (and (= ndl 4) (= ndbd 3) (= ndtd 2)))</t>
  </si>
  <si>
    <t xml:space="preserve">(setq mid1 (polar xbn2 (angle xbn2 ln2) (/ (distance xbn2 ln2) 2.0)))  </t>
  </si>
  <si>
    <t xml:space="preserve">(setq mid2 (polar ln2 (angle ln2 xtn1) (/ (distance ln2 xtn1) 2.0)))  </t>
  </si>
  <si>
    <t xml:space="preserve">(if (= index1 1) </t>
  </si>
  <si>
    <t>(command "line" ln3 mid2 "")</t>
  </si>
  <si>
    <t>(command "line" xbn1 mid1 "")</t>
  </si>
  <si>
    <t>(command "line" ln1 mid1 "")</t>
  </si>
  <si>
    <t xml:space="preserve">(mirr))) </t>
  </si>
  <si>
    <t>(if (= index1 2) (progn (command "line" xbn1 ln2 "")(mirr)))</t>
  </si>
  <si>
    <t>(command "line" xbn2 ln2 "")</t>
  </si>
  <si>
    <t>(command "line" ln2 xtn1 "")</t>
  </si>
  <si>
    <t>(command "line" xbn2 xtn1 "")</t>
  </si>
  <si>
    <t>(command "line" ln3 xtn1 "")</t>
  </si>
  <si>
    <t>(progn (setq abnd 2)(setq bbnd 2)(eqbeltupdown)</t>
  </si>
  <si>
    <t>(command "line" xbn1 sln1 "")</t>
  </si>
  <si>
    <t>(command "line" sln1 xbn2 "")</t>
  </si>
  <si>
    <t>(command "line" sln1 beltn1 "")</t>
  </si>
  <si>
    <t>(command "line" xbn2 beltn1 "")</t>
  </si>
  <si>
    <t>(command "line" sln3 beltn1 "")</t>
  </si>
  <si>
    <t>(command "line" beltn1 xtn1 "")</t>
  </si>
  <si>
    <t>(command "line" sln3 xtn1 "")</t>
  </si>
  <si>
    <t>(if (= cx "C") (command "undo" "18"))</t>
  </si>
  <si>
    <t>(if (= index1 3) (setq index1 0)) ))))</t>
  </si>
  <si>
    <t>(if (and (and (= ndl 4) (= ndbd 4) (= ndtd 2)))</t>
  </si>
  <si>
    <t>(setq abnd 2) (setq bbnd 2) (eqbeltupdown)</t>
  </si>
  <si>
    <t>(command "line" xbn1 sln1 "")(mirr)</t>
  </si>
  <si>
    <t>(command "line" sln1 xbn2 "")(mirr)</t>
  </si>
  <si>
    <t>(command "line" xbn2 pt7 "")(mirr)</t>
  </si>
  <si>
    <t>(command "line" xbn2 beltn1 "")(mirr)</t>
  </si>
  <si>
    <t>(command "line" xbn3 beltn1 "")(mirr)</t>
  </si>
  <si>
    <t>(command "line" sln3 xtn1 "")(mirr)</t>
  </si>
  <si>
    <t>(command "line" sln3 beltn1 "")(mirr)</t>
  </si>
  <si>
    <t>(command "line" xtn1 beltn1 "")(mirr))))</t>
  </si>
  <si>
    <t>(if (and (= ndl 2) (= nda 2))</t>
  </si>
  <si>
    <t>(des)(command "line" an1 ln1 "")(mirr)</t>
  </si>
  <si>
    <t>(if (= index1 1)(progn (command "line" ln1 beltn1 "")(mirr)))</t>
  </si>
  <si>
    <t>(if (or (= index1 1)(= index1 3))(progn (command "line" beltn1 an1 "")(mirr)))</t>
  </si>
  <si>
    <t>(if (or (= index1 2)(= index1 3))(progn (command "line" an1 pt5 "")(mirr)))</t>
  </si>
  <si>
    <t>(if (and (= ndl 2) (= nda 3))</t>
  </si>
  <si>
    <t>(command "line" ln1 an2 "")(mirr)</t>
  </si>
  <si>
    <t>(if (= index1 1)(progn (command "line" an2 pt5 "")(mirr)))</t>
  </si>
  <si>
    <t>(command "line" an2 beltn1 "")(mirr)</t>
  </si>
  <si>
    <t>(command "line" ln1 beltn1 "")(mirr)  ))</t>
  </si>
  <si>
    <t>(prompt "\n2 patterns available.")</t>
  </si>
  <si>
    <t>(if (and (= ndl 3) (= nda 3))</t>
  </si>
  <si>
    <t>(setq extrapt1 (polar ln2 0 (/ (distance ln2 an2) 2.0)))</t>
  </si>
  <si>
    <t>(setq extrapt2 (polar an1 (angle an1 pt5) (/ (distance an1 pt5) 2.0)))</t>
  </si>
  <si>
    <t>(setq extrapt3 (polar an1 (angle an1 beltn1) (/ (distance an1 beltn1) 2.0)))</t>
  </si>
  <si>
    <t>(des) (command "line" ln1 an1 "")(mirr)</t>
  </si>
  <si>
    <t>(if (or (or (= index1 1) (= index1 2) (= index1 3)))</t>
  </si>
  <si>
    <t>(progn (command "line" an1 ln2 "")(mirr)))</t>
  </si>
  <si>
    <t>(if (/= index1 5) (progn (command "line" ln2 an2 "")(mirr)))</t>
  </si>
  <si>
    <t>(if (= index1 1) (progn (command "line" an2 pt5 "")(mirr)))</t>
  </si>
  <si>
    <t>(if (or (= index1 2) (= index1 4)) (progn (command "line" ln2 beltn1 "")(mirr)))</t>
  </si>
  <si>
    <t>(if (/= index1 1) (progn (command "line" an2 beltn1 "")(mirr)))</t>
  </si>
  <si>
    <t xml:space="preserve">(if (= index1 3) </t>
  </si>
  <si>
    <t>(command "line" pt5 extrapt1 "")(mirr)</t>
  </si>
  <si>
    <t>(command "line" extrapt1 beltn1 "")(mirr)))</t>
  </si>
  <si>
    <t>(command "line" ln1 extrapt1 "")(mirr)</t>
  </si>
  <si>
    <t>(command "line" an1 extrapt1 "")(mirr)))</t>
  </si>
  <si>
    <t>(if (= index1 5)</t>
  </si>
  <si>
    <t>(command "line" an1 pt5 "")(mirr)</t>
  </si>
  <si>
    <t>(command "line" an1 beltn1 "")(mirr)</t>
  </si>
  <si>
    <t>(command "line" ln2 extrapt2 "")(mirr)</t>
  </si>
  <si>
    <t>(command "line" an2 extrapt3 "")(mirr)))</t>
  </si>
  <si>
    <t>(prompt "\n5 patterns available.")</t>
  </si>
  <si>
    <t>(if (= cx "C") (command "undo" "10"))</t>
  </si>
  <si>
    <t>(if (= index1 5) (setq index1 0)) ))))</t>
  </si>
  <si>
    <t>(if (and (= ndl 2) (= nda 4))</t>
  </si>
  <si>
    <t>(setq extrapt1 (polar an2 (angle an2 pt5) (/ (distance an2 pt5) 2.0)))</t>
  </si>
  <si>
    <t>(setq extrapt2 (polar ln1 (angle ln1 an2) (/ (distance ln1 an2) 2.0)))</t>
  </si>
  <si>
    <t>(if (/= index1 4)(progn (command "line" ln1 an2 "")(mirr)))</t>
  </si>
  <si>
    <t>(if (/= index1 3)(progn (command "line" an2 pt5 "")(mirr)))</t>
  </si>
  <si>
    <t>(command "line" beltn1 an3 "")(mirr)</t>
  </si>
  <si>
    <t>(command "line" extrapt1 an3 "")(mirr)</t>
  </si>
  <si>
    <t xml:space="preserve">(if (/= index1 1) (progn (command "line" an2 beltn1 "")(mirr))) </t>
  </si>
  <si>
    <t>(if (= index1 3)(progn (command "line" ln1 beltn1 "")(mirr)))</t>
  </si>
  <si>
    <t>(command "line" an1 extrapt1 "") (mirr)</t>
  </si>
  <si>
    <t>(command "line" extrapt1 ln1 "")(mirr)))</t>
  </si>
  <si>
    <t>(command "line" ln1 extrapt1 "") (mirr)</t>
  </si>
  <si>
    <t>(command "line" extrapt1 extrapt2 "")(mirr)))</t>
  </si>
  <si>
    <t>(if (= index1 5) (setq index1 0))))))</t>
  </si>
  <si>
    <t>(setvar "cmdecho" 0)</t>
  </si>
  <si>
    <t>(setvar "blipmode" 0)</t>
  </si>
  <si>
    <t>(setvar "pdmode" 3)</t>
  </si>
  <si>
    <t>(setvar "pdsize" 350)</t>
  </si>
  <si>
    <t>(command "viewres" "" "20000")</t>
  </si>
  <si>
    <t>(command "layer" "n" "mem,cen,das,des,dim"</t>
  </si>
  <si>
    <t>c "4" "mem"</t>
  </si>
  <si>
    <t>c "2" "cen" "lt" "center" "cen"</t>
  </si>
  <si>
    <t>c "1" "das" "lt" "dashed" "das"</t>
  </si>
  <si>
    <t>c "1" "des"</t>
  </si>
  <si>
    <t>c "5" "dim" "")</t>
  </si>
  <si>
    <t>(command "ltscale" "500")</t>
  </si>
  <si>
    <t>(command "style" "standard" "simplex" "250" "" "" "" "" ""))</t>
  </si>
  <si>
    <t>(setq noofarms (getint "\nNo. of X-Arms :"))</t>
  </si>
  <si>
    <t>(if (&gt; noofarms 0)</t>
  </si>
  <si>
    <t>(repeat noofarms</t>
  </si>
  <si>
    <t>(initget 1 "E U")</t>
  </si>
  <si>
    <t>(setq eu (getkword "\nEqual arms or Unequal arms : &lt; E / U &gt; :"))</t>
  </si>
  <si>
    <t>(setq xarmlvl (getdist "\n X-arm level from bottom :")</t>
  </si>
  <si>
    <t>xarmbpt (polar basepoint (dtr 90) xarmlvl))</t>
  </si>
  <si>
    <t>(if (= eu "E")</t>
  </si>
  <si>
    <t>(setq xarmlg (getdist "\nX-arm length from center of tower :")</t>
  </si>
  <si>
    <t>xarmlpt (polar xarmbpt pi xarmlg)</t>
  </si>
  <si>
    <t xml:space="preserve">xarmrpt (polar xarmbpt 0 xarmlg))) </t>
  </si>
  <si>
    <t>(setq xarmlgl (getdist "\nX-arm length from center of tower &lt;LEFT&gt; :")</t>
  </si>
  <si>
    <t>xarmlgr (getdist "\nX-arm length from center of tower &lt;RIGHT&gt; :")</t>
  </si>
  <si>
    <t>xarmlpt (polar xarmbpt pi xarmlgl)</t>
  </si>
  <si>
    <t>xarmrpt (polar xarmbpt 0 xarmlgr))))</t>
  </si>
  <si>
    <t>(command "line" xarmlpt xarmrpt "")))))</t>
  </si>
  <si>
    <t>(settings)</t>
  </si>
  <si>
    <t>(graphscr)</t>
  </si>
  <si>
    <t>(if (= sp nil) (setq sp '(0.0 0.0 0.0)))</t>
  </si>
  <si>
    <t>(setq basepoint sp)</t>
  </si>
  <si>
    <t>(if (= noofslps nil) (setq noofslps (getint "\n\n\n\nNo. of slopes :")))</t>
  </si>
  <si>
    <t>(prompt "\n\n\n\n********** 1st SLOPE DETAILS **********")</t>
  </si>
  <si>
    <t>(if (= bw nil) (setq bw (getdist "\n\nBase width :")))</t>
  </si>
  <si>
    <t>(setq bww bw)</t>
  </si>
  <si>
    <t>(repeat noofslps</t>
  </si>
  <si>
    <t xml:space="preserve">(if (= index 1) </t>
  </si>
  <si>
    <t>(setq hw (getdist "\n\n\n\n\nHamper width :"))</t>
  </si>
  <si>
    <t>(princ "\n\n\n\n\n\n\n\n\n\n\n\n\n\n\n\n\n********** Next slope details ***********")</t>
  </si>
  <si>
    <t xml:space="preserve">(setq hw (getdist "\n\nHamper width :"))))          </t>
  </si>
  <si>
    <t>(setq ht (getdist "\nHeight up to Hamper :")</t>
  </si>
  <si>
    <t>pt1 (polar sp pi (/ bw 2.0))</t>
  </si>
  <si>
    <t>pt2 (polar sp 0 (/ bw 2.0))</t>
  </si>
  <si>
    <t>hc (polar sp (dtr 90) ht)</t>
  </si>
  <si>
    <t>pt3 (polar hc 0 (/ hw 2.0))</t>
  </si>
  <si>
    <t xml:space="preserve">pt4 (polar hc pi (/ hw 2.0))) </t>
  </si>
  <si>
    <t>(if (= index 1) (setq 1slope (angle pt1 pt4)))</t>
  </si>
  <si>
    <t>(if (= index 2) (setq 2slope (angle pt1 pt4)))</t>
  </si>
  <si>
    <t>(if (= index 3) (setq 3slope (angle pt1 pt4)))</t>
  </si>
  <si>
    <t>(mem)</t>
  </si>
  <si>
    <t>(command "line" pt1 pt2 pt3 pt4 "c")</t>
  </si>
  <si>
    <t>(cen)</t>
  </si>
  <si>
    <t>(command "line" basepoint hc "")</t>
  </si>
  <si>
    <t>(command "zoom" "e")</t>
  </si>
  <si>
    <t>(command "zoom" "0.9x")</t>
  </si>
  <si>
    <t>(setq npanels (getint "\nNo. of panels  :"))</t>
  </si>
  <si>
    <t>(repeat npanels</t>
  </si>
  <si>
    <t>(setq ph (getdist "\nPanel height :")</t>
  </si>
  <si>
    <t>pt5ref (polar pt1 (dtr 90) ph)</t>
  </si>
  <si>
    <t>pt6ref (polar pt2 (dtr 90) ph)</t>
  </si>
  <si>
    <t>pt5 (inters pt1 pt4 pt5ref pt6ref)</t>
  </si>
  <si>
    <t>pt6 (inters pt2 pt3 pt5ref pt6ref))</t>
  </si>
  <si>
    <t>(initget 1 "X A")</t>
  </si>
  <si>
    <t>(setq xva (getkword "\nDiagonals pattern : &lt;X / A&gt; : "))</t>
  </si>
  <si>
    <t>(if (= xva "X")</t>
  </si>
  <si>
    <t>(command "line" pt1 pt6 "")</t>
  </si>
  <si>
    <t>(command "line" pt2 pt5 "")</t>
  </si>
  <si>
    <t>(setq intpt (inters pt1 pt6 pt2 pt5)</t>
  </si>
  <si>
    <t>ndbd (getint "\nNo. of divisions on bottom diagonal :")</t>
  </si>
  <si>
    <t>ndtd (getint "\nNo. of divisions on top diagonal :"))</t>
  </si>
  <si>
    <t>(if (&gt; ndbd 0)</t>
  </si>
  <si>
    <t>(setq btdst (/ (distance pt1 intpt) ndbd))</t>
  </si>
  <si>
    <t>(setq btdstref btdst)</t>
  </si>
  <si>
    <t>(setq ind1 0)</t>
  </si>
  <si>
    <t>(repeat (- ndbd 1)</t>
  </si>
  <si>
    <t>(setq ind1 (1+ ind1))</t>
  </si>
  <si>
    <t>(setq bnod (polar pt1 (angle pt1 intpt) btdst))</t>
  </si>
  <si>
    <t>(if (= ind1 1) (setq xbn1 bnod))</t>
  </si>
  <si>
    <t>(if (= ind1 2) (setq xbn2 bnod))</t>
  </si>
  <si>
    <t>(if (= ind1 3) (setq xbn3 bnod))</t>
  </si>
  <si>
    <t>(setq btdst (+ btdst btdstref)))))</t>
  </si>
  <si>
    <t>(if (&gt; ndtd 0)</t>
  </si>
  <si>
    <t>(setq tpdst (/ (distance intpt pt5) ndtd))</t>
  </si>
  <si>
    <t>(setq tpdstref tpdst)</t>
  </si>
  <si>
    <t>(setq ind2 0)</t>
  </si>
  <si>
    <t>(repeat (- ndtd 1)</t>
  </si>
  <si>
    <t>(setq ind2 (1+ ind2))</t>
  </si>
  <si>
    <t>(setq tnod (polar intpt (angle intpt pt5) tpdst))</t>
  </si>
  <si>
    <t>(if (= ind2 1) (setq xtn1 tnod))</t>
  </si>
  <si>
    <t>(if (= ind2 2) (setq xtn2 tnod))</t>
  </si>
  <si>
    <t>(if (= ind2 3) (setq xtn3 tnod))</t>
  </si>
  <si>
    <t xml:space="preserve">(setq tpdst (+ tpdst tpdstref)))))))   </t>
  </si>
  <si>
    <t>(if (= xva "A")</t>
  </si>
  <si>
    <t>(setq apoint (polar pt5 0 (/ (distance pt5 pt6) 2.0)))</t>
  </si>
  <si>
    <t>(setq beltn1 (polar pt5 0 (/ (distance pt5 apoint) 2.0)))</t>
  </si>
  <si>
    <t>(if (/= (distance pt5 pt4) 0) (command "line" pt5 pt6 ""))</t>
  </si>
  <si>
    <t>(command "line" pt1 apoint pt2 "")</t>
  </si>
  <si>
    <t>(setq nda (getint "\nNo. of divisions on Lattice :"))</t>
  </si>
  <si>
    <t>(if (&gt; nda 0)</t>
  </si>
  <si>
    <t>(setq adst (/ (distance pt1 apoint) nda))</t>
  </si>
  <si>
    <t>(setq adstref adst)</t>
  </si>
  <si>
    <t>(setq ind6 0)</t>
  </si>
  <si>
    <t>(repeat (- nda 1)</t>
  </si>
  <si>
    <t>(setq ind6 (1+ ind6))</t>
  </si>
  <si>
    <t>(setq anod (polar pt1 (angle pt1 apoint) adst))</t>
  </si>
  <si>
    <t>(if (= ind6 1) (setq an1 anod))</t>
  </si>
  <si>
    <t>(if (= ind6 2) (setq an2 anod))</t>
  </si>
  <si>
    <t>(if (= ind6 3) (setq an3 anod))</t>
  </si>
  <si>
    <t>(if (= ind6 4) (setq an4 anod))</t>
  </si>
  <si>
    <t>(if (= ind6 5) (setq an5 anod))</t>
  </si>
  <si>
    <t>(if (= ind6 6) (setq an6 anod))</t>
  </si>
  <si>
    <t>(if (= ind6 7) (setq an7 anod))</t>
  </si>
  <si>
    <t>(if (= ind6 8) (setq an8 anod))</t>
  </si>
  <si>
    <t>(if (= ind6 9) (setq an9 anod))</t>
  </si>
  <si>
    <t>(if (= ind6 10) (setq an10 anod))</t>
  </si>
  <si>
    <t>(setq adst (+ adst adstref)))))))</t>
  </si>
  <si>
    <t>(setq ndl (getint "\nNo. of divisions on leg :"))</t>
  </si>
  <si>
    <t>(if (&gt; ndl 0)</t>
  </si>
  <si>
    <t>(setq dsttemp (distance pt1 pt5))</t>
  </si>
  <si>
    <t>(setq ldst (/ (distance pt1 pt5) ndl))</t>
  </si>
  <si>
    <t>(setq ldstref ldst)</t>
  </si>
  <si>
    <t>(setq ind3 0)</t>
  </si>
  <si>
    <t>(repeat (- ndl 1)</t>
  </si>
  <si>
    <t>(setq ind3 (1+ ind3))</t>
  </si>
  <si>
    <t>(setq lnod (polar pt1 (angle pt1 pt5) ldst))</t>
  </si>
  <si>
    <t>(if (= ind3 1) (setq ln1 lnod))</t>
  </si>
  <si>
    <t>(if (= ind3 2) (setq ln2 lnod))</t>
  </si>
  <si>
    <t>(if (= ind3 3) (setq ln3 lnod))</t>
  </si>
  <si>
    <t>(if (= ind3 4) (setq ln4 lnod))</t>
  </si>
  <si>
    <t>(if (= ind3 5) (setq ln5 lnod))</t>
  </si>
  <si>
    <t>(if (= ind3 6) (setq ln6 lnod))</t>
  </si>
  <si>
    <t>(if (= ind3 7) (setq ln7 lnod))</t>
  </si>
  <si>
    <t>(if (= ind3 8) (setq ln8 lnod))</t>
  </si>
  <si>
    <t>(if (= ind3 9) (setq ln9 lnod))</t>
  </si>
  <si>
    <t>(if (= ind3 10) (setq ln10 lnod))</t>
  </si>
  <si>
    <t>(setq ldst (+ ldst ldstref)))))</t>
  </si>
  <si>
    <t>(if (= xva "X")(leg2xb0xt0))</t>
  </si>
  <si>
    <t>(if (= xva "X") (leg2xb2xt0))</t>
  </si>
  <si>
    <t>(if (= xva "X") (leg2xb2xt2))</t>
  </si>
  <si>
    <t>(if (= xva "X") (leg3xb2xt0))</t>
  </si>
  <si>
    <t>(if (= xva "X") (leg3xb2xt2))</t>
  </si>
  <si>
    <t>(if (= xva "X") (leg3xb3xt2))</t>
  </si>
  <si>
    <t>(if (= xva "X") (leg4xb2xt2))</t>
  </si>
  <si>
    <t>(if (= xva "X") (leg4xb3xt2))</t>
  </si>
  <si>
    <t>(if (= xva "X") (leg4xb4xt2))</t>
  </si>
  <si>
    <t>(if (= xva "A") (leg2a2))</t>
  </si>
  <si>
    <t>(if (= xva "A") (leg2a3))</t>
  </si>
  <si>
    <t>(if (= xva "A") (leg2a4))</t>
  </si>
  <si>
    <t>(if (= xva "A") (leg3a3))</t>
  </si>
  <si>
    <t>(setq pt1 pt5)</t>
  </si>
  <si>
    <t>(setq pt2 pt6)</t>
  </si>
  <si>
    <t>(setq sp (polar sp (dtr 90) ph)))</t>
  </si>
  <si>
    <t>(setq sp hc)</t>
  </si>
  <si>
    <t>(setq bw hw)</t>
  </si>
  <si>
    <t>(princ)))</t>
  </si>
  <si>
    <t>(prompt "\n\n\n\n** SLOPE DETAILS **")</t>
  </si>
  <si>
    <t>(setq sp (getpoint "\nStart point :"))</t>
  </si>
  <si>
    <t>(textscr)</t>
  </si>
  <si>
    <t>(prompt "\n\n\n\n\n\n\n\n\n\n\n\n\n\n\n\n\n\n\n\n\n\n\nPress return for default base width =")</t>
  </si>
  <si>
    <t>(print bww)</t>
  </si>
  <si>
    <t>(setq bww1 nil)</t>
  </si>
  <si>
    <t>(setq bww1 (getdist "\nBase width : &lt; Default &gt;"))</t>
  </si>
  <si>
    <t>(if (= bww1 nil) (setq bww1 bww) (setq bww bww1))</t>
  </si>
  <si>
    <t>(setq ht (getdist "\nBody height :")</t>
  </si>
  <si>
    <t>pt1 (polar sp pi (/ bww 2.0))</t>
  </si>
  <si>
    <t xml:space="preserve">pt4 (polar sp 0 (/ bww 2.0))     </t>
  </si>
  <si>
    <t>hc (polar sp (dtr 270) ht)</t>
  </si>
  <si>
    <t>hyp (/ ht (sin 1slope))</t>
  </si>
  <si>
    <t>pt2 (polar pt1 (+ pi 1slope) hyp)</t>
  </si>
  <si>
    <t>pt3refdst (distance pt2 hc)</t>
  </si>
  <si>
    <t>pt3 (polar hc 0 pt3refdst))</t>
  </si>
  <si>
    <t>(if (&gt; npanels 0)</t>
  </si>
  <si>
    <t>pt5ref (polar pt2 (dtr 90) ph)</t>
  </si>
  <si>
    <t>pt6ref (polar pt3 (dtr 90) ph)</t>
  </si>
  <si>
    <t>pt5 (inters pt2 pt1 pt5ref pt6ref)</t>
  </si>
  <si>
    <t>pt6 (inters pt3 pt4 pt5ref pt6ref))</t>
  </si>
  <si>
    <t>(initget 1 "X V A")</t>
  </si>
  <si>
    <t>(setq xva (getkword "\nDiagonals pattern : &lt;X / V / A&gt; : "))</t>
  </si>
  <si>
    <t xml:space="preserve">(if (= xva "X")   </t>
  </si>
  <si>
    <t>(command "line" pt2 pt6 "")</t>
  </si>
  <si>
    <t>(command "line" pt3 pt5 "")</t>
  </si>
  <si>
    <t>(setq intpt (inters pt2 pt6 pt3 pt5)</t>
  </si>
  <si>
    <t>(setq btdst (/ (distance pt2 intpt) ndbd))</t>
  </si>
  <si>
    <t>(setq bnod (polar pt2 (angle pt2 intpt) btdst))</t>
  </si>
  <si>
    <t>(setq tpdst (+ tpdst tpdstref)))))))</t>
  </si>
  <si>
    <t>(if (= xva "V")</t>
  </si>
  <si>
    <t>(command "line" pt5 hc pt6 "")</t>
  </si>
  <si>
    <t>(setq ndv (getint "\nNo. of divisions on V :"))</t>
  </si>
  <si>
    <t>(if (&gt; ndv 0)</t>
  </si>
  <si>
    <t>(setq vdst (/ (distance hc pt5) ndv))</t>
  </si>
  <si>
    <t>(setq vdstref vdst)</t>
  </si>
  <si>
    <t>(repeat (- ndv 1)</t>
  </si>
  <si>
    <t>(setq vnod (polar hc (angle hc pt5) vdst))</t>
  </si>
  <si>
    <t>(setq vdst (+ vdst vdstref)))))))</t>
  </si>
  <si>
    <t>(command "line" pt2 apoint pt3 "")</t>
  </si>
  <si>
    <t>(setq nda (getint "\nNo. of divisions on A :"))</t>
  </si>
  <si>
    <t>(setq adst (/ (distance pt2 apoint) nda))</t>
  </si>
  <si>
    <t>(setq anod (polar pt2 (angle pt2 apoint) adst))</t>
  </si>
  <si>
    <t>(setq ldst (/ (distance pt2 pt5) ndl))</t>
  </si>
  <si>
    <t>(setq lnod (polar pt2 (angle pt2 pt5) ldst))</t>
  </si>
  <si>
    <t>(setq pt2 pt5)</t>
  </si>
  <si>
    <t>(setq pt3 pt6)</t>
  </si>
  <si>
    <t>(setq hc (polar hc (dtr 90) ph))))))</t>
  </si>
  <si>
    <t>(setq lht (getdist "\n Leg height :"))</t>
  </si>
  <si>
    <t>(initget 1 "L R")</t>
  </si>
  <si>
    <t>(setq lr (getkword "\nTo be placed at left side or right side  : &lt; L / R &gt; : "))</t>
  </si>
  <si>
    <t>(setq npl (getint "\nNumber of divisions on lattice  :"))</t>
  </si>
  <si>
    <t>(setq npleg (getint "\nNumber of divisions on leg  :"))</t>
  </si>
  <si>
    <t>(setq hlc (polar sp (dtr 270) lht)</t>
  </si>
  <si>
    <t>hyp (/ lht (sin 1slope))</t>
  </si>
  <si>
    <t>(if (= lr "L")</t>
  </si>
  <si>
    <t>(setq plt1 (polar sp pi (/ bww 2.0)))</t>
  </si>
  <si>
    <t>(setq plt2 (polar plt1 (+ pi 1slope) hyp))))</t>
  </si>
  <si>
    <t>(if (= lr "R")</t>
  </si>
  <si>
    <t>(setq plt1 (polar sp 0 (/ bww 2.0)))</t>
  </si>
  <si>
    <t xml:space="preserve">(setq plt2 (polar plt1 (- (dtr 360) 1slope) hyp))))  </t>
  </si>
  <si>
    <t>(command "line" plt1 sp plt2 "c")</t>
  </si>
  <si>
    <t>(if (&gt; npl 0)</t>
  </si>
  <si>
    <t>(setq leglatdst (/ (distance plt2 sp) npl))</t>
  </si>
  <si>
    <t>(setq leglatdstref leglatdst)</t>
  </si>
  <si>
    <t>(repeat (- npl 1)</t>
  </si>
  <si>
    <t>(setq leglatnod (polar plt2 (angle plt2 sp) leglatdst))</t>
  </si>
  <si>
    <t>(setq leglatdst (+ leglatdst leglatdstref)))))</t>
  </si>
  <si>
    <t>(if (&gt; npleg 0)</t>
  </si>
  <si>
    <t>(setq legeqdst (/ (distance plt2 plt1) npleg))</t>
  </si>
  <si>
    <t>(setq legeqdstref legeqdst)</t>
  </si>
  <si>
    <t>(repeat (- npleg 1)</t>
  </si>
  <si>
    <t>(setq legnod (polar plt2 (angle plt2 plt1) legeqdst))</t>
  </si>
  <si>
    <t>(setq legeqdst (+ legeqdst legeqdstref))))))</t>
  </si>
  <si>
    <t>(setq bp (getpoint "\nStart point :"))</t>
  </si>
  <si>
    <t>(initget 1 "S T")</t>
  </si>
  <si>
    <t>(setq st (getkword "\n\n\n\n\n\n\n\n\n\n\n\n\n\n\n\n\n\n\n\n\n\n\n\n\nSuspension tower / Tension tower : &lt; S / T &gt; :"))</t>
  </si>
  <si>
    <t>(if (= st "S")</t>
  </si>
  <si>
    <t>(setq lrarm (getkword "\nLeft X-arm or Right X-Arm : &lt; L / R &gt; :"))</t>
  </si>
  <si>
    <t>(setq hangerlg (getdist "\n\nHanger length :")</t>
  </si>
  <si>
    <t>insulg (getdist "\nInsulator length :")</t>
  </si>
  <si>
    <t>archorn (getdist "\nArching horn distance :"))</t>
  </si>
  <si>
    <t>(prompt "\n\n\n\n\n\n\n\n\n\n\n\n\n\n\n\n\n\n\n\n\n\n\n\nType `0' - In case of no conductor drop")</t>
  </si>
  <si>
    <t>(setq condrop (getdist "\n\nConductor drop length :")</t>
  </si>
  <si>
    <t>bundlesp (getdist "\nBundle spacing :")</t>
  </si>
  <si>
    <t>swings (getint "\nNo. of swings :")</t>
  </si>
  <si>
    <t>hiint (polar bp (dtr 270) hangerlg))</t>
  </si>
  <si>
    <t>(setq a 0)</t>
  </si>
  <si>
    <t>(repeat swings</t>
  </si>
  <si>
    <t>(setq a (+ a 1))</t>
  </si>
  <si>
    <t>(setq sa (getdist "\n\n\n\nSwing angle :"))</t>
  </si>
  <si>
    <t>(setq dimsa sa)</t>
  </si>
  <si>
    <t>(if (= lrarm "L") (setq sa (dtr (+ sa 270))))</t>
  </si>
  <si>
    <t>(if (= lrarm "R") (setq sa (dtr (- 270 sa))))</t>
  </si>
  <si>
    <t>(setq  clears (getdist "\nClearance distance :")</t>
  </si>
  <si>
    <t>insupt (polar hiint sa insulg)</t>
  </si>
  <si>
    <t>inscdpt (polar insupt sa condrop)</t>
  </si>
  <si>
    <t>d1 (polar inscdpt (- sa (dtr 90)) (/ bundlesp 2.0))</t>
  </si>
  <si>
    <t>d2 (polar inscdpt (+ sa (dtr 90)) (/ bundlesp 2.0))</t>
  </si>
  <si>
    <t>d3 (polar hiint sa archorn))</t>
  </si>
  <si>
    <t xml:space="preserve">(if (= lrarm "L") </t>
  </si>
  <si>
    <t>(setq arcpt (polar d2 (- sa (dtr 20)) clears))</t>
  </si>
  <si>
    <t>(setq leapt (polar d2 (+ sa (dtr 12.5)) clears))</t>
  </si>
  <si>
    <t>(setq dimpt (polar d3 (dtr 90) clears))</t>
  </si>
  <si>
    <t>(setq verdimpt (polar bp pi 3000))))</t>
  </si>
  <si>
    <t xml:space="preserve">(if (= lrarm "R") </t>
  </si>
  <si>
    <t>(setq arcpt (polar d1 (- sa (dtr 40)) clears))</t>
  </si>
  <si>
    <t>(setq leapt (polar d1 (- sa (dtr 12.5)) clears))</t>
  </si>
  <si>
    <t>(setq verdimpt (polar bp 0 3000))))</t>
  </si>
  <si>
    <t>(command "line" bp hiint "")</t>
  </si>
  <si>
    <t xml:space="preserve">(if (&gt; condrop 0) </t>
  </si>
  <si>
    <t>(command "line" hiint insupt inscdpt "")</t>
  </si>
  <si>
    <t>(command "line" hiint insupt "")))</t>
  </si>
  <si>
    <t>(command "units" "" "" "" "0" "" "")</t>
  </si>
  <si>
    <t>(setvar "dimasz" 0)</t>
  </si>
  <si>
    <t>(setvar "dimtsz" 0.5)</t>
  </si>
  <si>
    <t xml:space="preserve">(if (= a 1) </t>
  </si>
  <si>
    <t>(setq dimsa1 dimsa)</t>
  </si>
  <si>
    <t xml:space="preserve">(setq angdimpt1 (polar hiint (angle hiint insupt) (/ (distance hiint insupt) 2.0))))) </t>
  </si>
  <si>
    <t xml:space="preserve">(if (= a 2) </t>
  </si>
  <si>
    <t>(setq dimsa2 (+ dimsa dimsa1))</t>
  </si>
  <si>
    <t>(setq angdimpt2 (polar hiint (angle hiint insupt) (/ (distance hiint insupt) 2.0)))</t>
  </si>
  <si>
    <t>(dim)</t>
  </si>
  <si>
    <t xml:space="preserve">(command "dim1" "ang" angdimpt1 angdimpt2 "@" "" ""))) </t>
  </si>
  <si>
    <t xml:space="preserve">(if (= a 3) </t>
  </si>
  <si>
    <t>(setq dimsa3 (+ dimsa dimsa2))</t>
  </si>
  <si>
    <t>(setq angdimpt3 (polar hiint (angle hiint insupt) (/ (distance hiint insupt) 2.0)))</t>
  </si>
  <si>
    <t xml:space="preserve">(command "dim1" "ang" angdimpt1 angdimpt3 "@" (fix dimsa3) "@"))) </t>
  </si>
  <si>
    <t xml:space="preserve">(if (= a 4) </t>
  </si>
  <si>
    <t>(setq dimsa4 (+ dimsa dimsa3))</t>
  </si>
  <si>
    <t>(setq angdimpt4 (polar hiint (angle hiint insupt) (/ (distance hiint insupt) 2.0)))</t>
  </si>
  <si>
    <t>(command "dim1" "ang" angdimpt1 angdimpt4 "@" (fix dimsa4) "@")))</t>
  </si>
  <si>
    <t>(command "donut" "0" "100" d1 d2 d3 "")</t>
  </si>
  <si>
    <t>(if (= lrarm "L") (command "arc" "c" d2 arcpt "a" "65"))</t>
  </si>
  <si>
    <t>(if (= lrarm "R") (command "arc" "c" d1 arcpt "a" "65"))</t>
  </si>
  <si>
    <t xml:space="preserve">(if (= a swings) </t>
  </si>
  <si>
    <t>(setq arcpt1 (polar d3 (dtr 125) clears))</t>
  </si>
  <si>
    <t>(command "arc" "c" d3 arcpt1 "a" "-80")</t>
  </si>
  <si>
    <t>(setvar "dimtsz" 0)</t>
  </si>
  <si>
    <t>(setvar "dimasz" 2)</t>
  </si>
  <si>
    <t xml:space="preserve">(command "dim1" "rad" dimpt (fix clears)))) </t>
  </si>
  <si>
    <t>(setvar "dimtix" 1)</t>
  </si>
  <si>
    <t>(setvar "dimtad" 1)</t>
  </si>
  <si>
    <t>(command "dim1" "rad" leapt (fix clears))</t>
  </si>
  <si>
    <t>(setq hiint1 hiint)</t>
  </si>
  <si>
    <t>(setq insupt1 insupt)</t>
  </si>
  <si>
    <t>(setq inscdpt1 inscdpt))))</t>
  </si>
  <si>
    <t>(setvar "dimtofl" 1)</t>
  </si>
  <si>
    <t>(setvar "dimtix" 0)</t>
  </si>
  <si>
    <t>(setvar "dimexo" 2)</t>
  </si>
  <si>
    <t>(command "dim1" "ver" hiint1 bp verdimpt (fix hangerlg))</t>
  </si>
  <si>
    <t>(command "text" (polar bp (dtr 175.8) 2406.5) "90" "HANGER")</t>
  </si>
  <si>
    <t>(command "dim1" "ver" hiint1 insupt1 verdimpt (fix insulg))</t>
  </si>
  <si>
    <t>(setq reftxtpt1 (polar verdimpt (dtr 270) (+ hangerlg (/ insulg 2.0))))</t>
  </si>
  <si>
    <t>(setq txtpt1 (polar reftxtpt1 0 600))</t>
  </si>
  <si>
    <t>(setq txtpt2 (polar txtpt1 0 686))</t>
  </si>
  <si>
    <t>(command "text" "c" txtpt1 "90" "INSULATOR")</t>
  </si>
  <si>
    <t>(command "text" "c" txtpt2 "90" "LENGTH")</t>
  </si>
  <si>
    <t>(setq txtpt3 (polar txtpt1 (dtr 270) (+ (/ insulg 2.0) condrop 1000)))</t>
  </si>
  <si>
    <t>(setq txtpt4 (polar txtpt2 (dtr 270) (+ (/ insulg 2.0) condrop 1000)))</t>
  </si>
  <si>
    <t>(command "dim1" "ver" insupt1 inscdpt1 verdimpt (fix condrop))</t>
  </si>
  <si>
    <t>(command "text" "c" txtpt3 "90" "COND.")</t>
  </si>
  <si>
    <t>(command "text" "c" txtpt4 "90" "DROP")</t>
  </si>
  <si>
    <t>)))))</t>
  </si>
  <si>
    <t>(setq tab5 tab5_end))</t>
  </si>
  <si>
    <t>(command "_quit" "n" ""))</t>
  </si>
  <si>
    <t>(load "C:\\Users\\ktvr\\Desktop\\SLD\\SLD_TEST.lsp")</t>
  </si>
  <si>
    <t>(load "C:\\SLD\\SLD.lsp")</t>
  </si>
  <si>
    <t>(setq designname "SLD_TEST")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</si>
</sst>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name val="Calibri"/>
      <family val="2"/>
      <scheme val="minor"/>
    </font>
    <font>
      <b/>
      <sz val="12"/>
      <color theme="1"/>
      <name val="Calibri"/>
      <family val="2"/>
      <scheme val="minor"/>
    </font>
  </fonts>
  <fills count="12">
    <fill>
      <patternFill patternType="none"/>
    </fill>
    <fill>
      <patternFill patternType="gray125"/>
    </fill>
    <fill>
      <patternFill patternType="solid">
        <fgColor theme="2" tint="-0.24997711111789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00B050"/>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6" tint="0.39997558519241921"/>
        <bgColor indexed="64"/>
      </patternFill>
    </fill>
  </fills>
  <borders count="7">
    <border>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7">
    <xf numFmtId="0" fontId="0" fillId="0" borderId="0" xfId="0"/>
    <xf numFmtId="0" fontId="0" fillId="2" borderId="0" xfId="0" applyFill="1"/>
    <xf numFmtId="0" fontId="0" fillId="3" borderId="0" xfId="0" applyFill="1"/>
    <xf numFmtId="0" fontId="0" fillId="0" borderId="0" xfId="0" applyAlignment="1">
      <alignment horizontal="center" vertical="center" wrapText="1"/>
    </xf>
    <xf numFmtId="0" fontId="0" fillId="7" borderId="0" xfId="0" applyFill="1" applyAlignment="1">
      <alignment horizontal="center" vertical="center" wrapText="1"/>
    </xf>
    <xf numFmtId="0" fontId="0" fillId="2" borderId="0" xfId="0" applyFill="1" applyAlignment="1">
      <alignment horizontal="center" vertical="center"/>
    </xf>
    <xf numFmtId="0" fontId="0" fillId="8" borderId="0" xfId="0" applyFill="1" applyAlignment="1">
      <alignment horizontal="center" vertical="center"/>
    </xf>
    <xf numFmtId="0" fontId="0" fillId="3" borderId="0" xfId="0" applyFill="1" applyAlignment="1">
      <alignment horizontal="center" vertical="center"/>
    </xf>
    <xf numFmtId="0" fontId="1" fillId="5" borderId="0" xfId="0" applyFont="1" applyFill="1" applyAlignment="1">
      <alignment horizontal="center" vertical="center" wrapText="1"/>
    </xf>
    <xf numFmtId="0" fontId="0" fillId="3" borderId="0" xfId="0" applyFill="1" applyAlignment="1">
      <alignment vertical="center" wrapText="1"/>
    </xf>
    <xf numFmtId="0" fontId="0" fillId="5" borderId="0" xfId="0" applyFill="1" applyAlignment="1">
      <alignment horizontal="center" vertical="center" wrapText="1"/>
    </xf>
    <xf numFmtId="0" fontId="0" fillId="3" borderId="0" xfId="0" applyFill="1" applyAlignment="1">
      <alignment horizontal="center" vertical="center" wrapText="1"/>
    </xf>
    <xf numFmtId="0" fontId="0" fillId="0" borderId="0" xfId="0" applyAlignment="1">
      <alignment vertical="center" wrapText="1"/>
    </xf>
    <xf numFmtId="0" fontId="0" fillId="3" borderId="0" xfId="0" applyFill="1" applyAlignment="1">
      <alignment horizontal="center" vertical="center" wrapText="1"/>
    </xf>
    <xf numFmtId="0" fontId="0" fillId="2" borderId="0" xfId="0" applyFill="1" applyAlignment="1">
      <alignment horizontal="center" vertical="center" wrapText="1"/>
    </xf>
    <xf numFmtId="0" fontId="0" fillId="9" borderId="0" xfId="0" applyFill="1" applyAlignment="1">
      <alignment horizontal="center" vertical="center" wrapText="1"/>
    </xf>
    <xf numFmtId="0" fontId="2" fillId="3" borderId="0" xfId="0" applyFont="1" applyFill="1" applyAlignment="1">
      <alignment horizontal="center" vertical="center"/>
    </xf>
    <xf numFmtId="0" fontId="0" fillId="2" borderId="0" xfId="0" applyFill="1" applyAlignment="1">
      <alignment horizontal="center" vertical="center"/>
    </xf>
    <xf numFmtId="0" fontId="0" fillId="0" borderId="0" xfId="0" applyFill="1" applyAlignment="1">
      <alignment horizontal="center" vertical="center"/>
    </xf>
    <xf numFmtId="0" fontId="0" fillId="0" borderId="0" xfId="0" applyAlignment="1">
      <alignment horizontal="center" vertical="center"/>
    </xf>
    <xf numFmtId="0" fontId="0" fillId="11" borderId="0" xfId="0" applyFill="1"/>
    <xf numFmtId="0" fontId="0" fillId="0" borderId="0" xfId="0" applyAlignment="1">
      <alignment vertical="center"/>
    </xf>
    <xf numFmtId="0" fontId="0" fillId="0" borderId="0" xfId="0" applyAlignment="1">
      <alignment horizontal="center"/>
    </xf>
    <xf numFmtId="0" fontId="0" fillId="6" borderId="0" xfId="0" applyFill="1" applyAlignment="1">
      <alignment vertical="center"/>
    </xf>
    <xf numFmtId="0" fontId="0" fillId="4" borderId="0" xfId="0" applyFill="1" applyAlignment="1">
      <alignment vertical="center"/>
    </xf>
    <xf numFmtId="0" fontId="0" fillId="0" borderId="0" xfId="0" applyAlignment="1">
      <alignment horizontal="left" vertical="center"/>
    </xf>
    <xf numFmtId="0" fontId="0" fillId="2" borderId="0" xfId="0" applyFill="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3" borderId="0" xfId="0" applyFill="1" applyAlignment="1">
      <alignment horizontal="center" vertical="center" wrapText="1"/>
    </xf>
    <xf numFmtId="0" fontId="0" fillId="5" borderId="4" xfId="0" applyFill="1" applyBorder="1" applyAlignment="1">
      <alignment horizontal="center" vertical="center" wrapText="1"/>
    </xf>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5" borderId="1" xfId="0" applyFill="1" applyBorder="1" applyAlignment="1">
      <alignment horizontal="center" vertical="center" wrapText="1"/>
    </xf>
    <xf numFmtId="0" fontId="0" fillId="5" borderId="2" xfId="0" applyFill="1" applyBorder="1" applyAlignment="1">
      <alignment horizontal="center" vertical="center" wrapText="1"/>
    </xf>
    <xf numFmtId="0" fontId="0" fillId="5" borderId="3" xfId="0" applyFill="1" applyBorder="1" applyAlignment="1">
      <alignment horizontal="center" vertical="center" wrapText="1"/>
    </xf>
    <xf numFmtId="0" fontId="0" fillId="4" borderId="0" xfId="0" applyFill="1" applyAlignment="1">
      <alignment horizontal="center" vertical="center"/>
    </xf>
  </cellXfs>
  <cellStyles count="1">
    <cellStyle name="Normal" xfId="0" builtinId="0"/>
  </cellStyles>
  <dxfs count="0"/>
  <tableStyles count="0" defaultTableStyle="TableStyleMedium2" defaultPivotStyle="PivotStyleLight16"/>
  <colors>
    <mruColors>
      <color rgb="FFBACA2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19.emf"/><Relationship Id="rId18" Type="http://schemas.openxmlformats.org/officeDocument/2006/relationships/image" Target="../media/image14.emf"/><Relationship Id="rId26" Type="http://schemas.openxmlformats.org/officeDocument/2006/relationships/image" Target="../media/image6.emf"/><Relationship Id="rId3" Type="http://schemas.openxmlformats.org/officeDocument/2006/relationships/image" Target="../media/image29.emf"/><Relationship Id="rId21" Type="http://schemas.openxmlformats.org/officeDocument/2006/relationships/image" Target="../media/image11.emf"/><Relationship Id="rId7" Type="http://schemas.openxmlformats.org/officeDocument/2006/relationships/image" Target="../media/image25.emf"/><Relationship Id="rId12" Type="http://schemas.openxmlformats.org/officeDocument/2006/relationships/image" Target="../media/image20.emf"/><Relationship Id="rId17" Type="http://schemas.openxmlformats.org/officeDocument/2006/relationships/image" Target="../media/image15.emf"/><Relationship Id="rId25" Type="http://schemas.openxmlformats.org/officeDocument/2006/relationships/image" Target="../media/image7.emf"/><Relationship Id="rId2" Type="http://schemas.openxmlformats.org/officeDocument/2006/relationships/image" Target="../media/image30.emf"/><Relationship Id="rId16" Type="http://schemas.openxmlformats.org/officeDocument/2006/relationships/image" Target="../media/image16.emf"/><Relationship Id="rId20" Type="http://schemas.openxmlformats.org/officeDocument/2006/relationships/image" Target="../media/image12.emf"/><Relationship Id="rId29" Type="http://schemas.openxmlformats.org/officeDocument/2006/relationships/image" Target="../media/image3.emf"/><Relationship Id="rId1" Type="http://schemas.openxmlformats.org/officeDocument/2006/relationships/image" Target="../media/image31.emf"/><Relationship Id="rId6" Type="http://schemas.openxmlformats.org/officeDocument/2006/relationships/image" Target="../media/image26.emf"/><Relationship Id="rId11" Type="http://schemas.openxmlformats.org/officeDocument/2006/relationships/image" Target="../media/image21.emf"/><Relationship Id="rId24" Type="http://schemas.openxmlformats.org/officeDocument/2006/relationships/image" Target="../media/image8.emf"/><Relationship Id="rId5" Type="http://schemas.openxmlformats.org/officeDocument/2006/relationships/image" Target="../media/image27.emf"/><Relationship Id="rId15" Type="http://schemas.openxmlformats.org/officeDocument/2006/relationships/image" Target="../media/image17.emf"/><Relationship Id="rId23" Type="http://schemas.openxmlformats.org/officeDocument/2006/relationships/image" Target="../media/image9.emf"/><Relationship Id="rId28" Type="http://schemas.openxmlformats.org/officeDocument/2006/relationships/image" Target="../media/image4.emf"/><Relationship Id="rId10" Type="http://schemas.openxmlformats.org/officeDocument/2006/relationships/image" Target="../media/image22.emf"/><Relationship Id="rId19" Type="http://schemas.openxmlformats.org/officeDocument/2006/relationships/image" Target="../media/image13.emf"/><Relationship Id="rId31" Type="http://schemas.openxmlformats.org/officeDocument/2006/relationships/image" Target="../media/image1.emf"/><Relationship Id="rId4" Type="http://schemas.openxmlformats.org/officeDocument/2006/relationships/image" Target="../media/image28.emf"/><Relationship Id="rId9" Type="http://schemas.openxmlformats.org/officeDocument/2006/relationships/image" Target="../media/image23.emf"/><Relationship Id="rId14" Type="http://schemas.openxmlformats.org/officeDocument/2006/relationships/image" Target="../media/image18.emf"/><Relationship Id="rId22" Type="http://schemas.openxmlformats.org/officeDocument/2006/relationships/image" Target="../media/image10.emf"/><Relationship Id="rId27" Type="http://schemas.openxmlformats.org/officeDocument/2006/relationships/image" Target="../media/image5.emf"/><Relationship Id="rId30"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38100</xdr:colOff>
          <xdr:row>7</xdr:row>
          <xdr:rowOff>9525</xdr:rowOff>
        </xdr:from>
        <xdr:to>
          <xdr:col>12</xdr:col>
          <xdr:colOff>1362075</xdr:colOff>
          <xdr:row>7</xdr:row>
          <xdr:rowOff>238125</xdr:rowOff>
        </xdr:to>
        <xdr:sp macro="" textlink="">
          <xdr:nvSpPr>
            <xdr:cNvPr id="1033" name="CommandButton1"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8</xdr:row>
          <xdr:rowOff>0</xdr:rowOff>
        </xdr:from>
        <xdr:to>
          <xdr:col>12</xdr:col>
          <xdr:colOff>1362075</xdr:colOff>
          <xdr:row>8</xdr:row>
          <xdr:rowOff>228600</xdr:rowOff>
        </xdr:to>
        <xdr:sp macro="" textlink="">
          <xdr:nvSpPr>
            <xdr:cNvPr id="1036" name="CommandButton2"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9</xdr:row>
          <xdr:rowOff>0</xdr:rowOff>
        </xdr:from>
        <xdr:to>
          <xdr:col>12</xdr:col>
          <xdr:colOff>1362075</xdr:colOff>
          <xdr:row>9</xdr:row>
          <xdr:rowOff>228600</xdr:rowOff>
        </xdr:to>
        <xdr:sp macro="" textlink="">
          <xdr:nvSpPr>
            <xdr:cNvPr id="1037" name="CommandButton3"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10</xdr:row>
          <xdr:rowOff>0</xdr:rowOff>
        </xdr:from>
        <xdr:to>
          <xdr:col>12</xdr:col>
          <xdr:colOff>1371600</xdr:colOff>
          <xdr:row>10</xdr:row>
          <xdr:rowOff>228600</xdr:rowOff>
        </xdr:to>
        <xdr:sp macro="" textlink="">
          <xdr:nvSpPr>
            <xdr:cNvPr id="1038" name="CommandButton4"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11</xdr:row>
          <xdr:rowOff>9525</xdr:rowOff>
        </xdr:from>
        <xdr:to>
          <xdr:col>12</xdr:col>
          <xdr:colOff>1371600</xdr:colOff>
          <xdr:row>11</xdr:row>
          <xdr:rowOff>238125</xdr:rowOff>
        </xdr:to>
        <xdr:sp macro="" textlink="">
          <xdr:nvSpPr>
            <xdr:cNvPr id="1039" name="CommandButton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12</xdr:row>
          <xdr:rowOff>9525</xdr:rowOff>
        </xdr:from>
        <xdr:to>
          <xdr:col>12</xdr:col>
          <xdr:colOff>1371600</xdr:colOff>
          <xdr:row>12</xdr:row>
          <xdr:rowOff>238125</xdr:rowOff>
        </xdr:to>
        <xdr:sp macro="" textlink="">
          <xdr:nvSpPr>
            <xdr:cNvPr id="1040" name="CommandButton6"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13</xdr:row>
          <xdr:rowOff>9525</xdr:rowOff>
        </xdr:from>
        <xdr:to>
          <xdr:col>12</xdr:col>
          <xdr:colOff>1381125</xdr:colOff>
          <xdr:row>13</xdr:row>
          <xdr:rowOff>238125</xdr:rowOff>
        </xdr:to>
        <xdr:sp macro="" textlink="">
          <xdr:nvSpPr>
            <xdr:cNvPr id="1041" name="CommandButton7"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14</xdr:row>
          <xdr:rowOff>9525</xdr:rowOff>
        </xdr:from>
        <xdr:to>
          <xdr:col>12</xdr:col>
          <xdr:colOff>1381125</xdr:colOff>
          <xdr:row>14</xdr:row>
          <xdr:rowOff>238125</xdr:rowOff>
        </xdr:to>
        <xdr:sp macro="" textlink="">
          <xdr:nvSpPr>
            <xdr:cNvPr id="1042" name="CommandButton8"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15</xdr:row>
          <xdr:rowOff>9525</xdr:rowOff>
        </xdr:from>
        <xdr:to>
          <xdr:col>12</xdr:col>
          <xdr:colOff>1381125</xdr:colOff>
          <xdr:row>15</xdr:row>
          <xdr:rowOff>238125</xdr:rowOff>
        </xdr:to>
        <xdr:sp macro="" textlink="">
          <xdr:nvSpPr>
            <xdr:cNvPr id="1043" name="CommandButton9" hidden="1">
              <a:extLst>
                <a:ext uri="{63B3BB69-23CF-44E3-9099-C40C66FF867C}">
                  <a14:compatExt spid="_x0000_s1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16</xdr:row>
          <xdr:rowOff>0</xdr:rowOff>
        </xdr:from>
        <xdr:to>
          <xdr:col>12</xdr:col>
          <xdr:colOff>1371600</xdr:colOff>
          <xdr:row>16</xdr:row>
          <xdr:rowOff>228600</xdr:rowOff>
        </xdr:to>
        <xdr:sp macro="" textlink="">
          <xdr:nvSpPr>
            <xdr:cNvPr id="1044" name="CommandButton10"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17</xdr:row>
          <xdr:rowOff>0</xdr:rowOff>
        </xdr:from>
        <xdr:to>
          <xdr:col>12</xdr:col>
          <xdr:colOff>1371600</xdr:colOff>
          <xdr:row>17</xdr:row>
          <xdr:rowOff>228600</xdr:rowOff>
        </xdr:to>
        <xdr:sp macro="" textlink="">
          <xdr:nvSpPr>
            <xdr:cNvPr id="1045" name="CommandButton11"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18</xdr:row>
          <xdr:rowOff>9525</xdr:rowOff>
        </xdr:from>
        <xdr:to>
          <xdr:col>12</xdr:col>
          <xdr:colOff>1371600</xdr:colOff>
          <xdr:row>18</xdr:row>
          <xdr:rowOff>238125</xdr:rowOff>
        </xdr:to>
        <xdr:sp macro="" textlink="">
          <xdr:nvSpPr>
            <xdr:cNvPr id="1046" name="CommandButton12"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19</xdr:row>
          <xdr:rowOff>19050</xdr:rowOff>
        </xdr:from>
        <xdr:to>
          <xdr:col>12</xdr:col>
          <xdr:colOff>1371600</xdr:colOff>
          <xdr:row>19</xdr:row>
          <xdr:rowOff>247650</xdr:rowOff>
        </xdr:to>
        <xdr:sp macro="" textlink="">
          <xdr:nvSpPr>
            <xdr:cNvPr id="1047" name="CommandButton13" hidden="1">
              <a:extLst>
                <a:ext uri="{63B3BB69-23CF-44E3-9099-C40C66FF867C}">
                  <a14:compatExt spid="_x0000_s1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20</xdr:row>
          <xdr:rowOff>19050</xdr:rowOff>
        </xdr:from>
        <xdr:to>
          <xdr:col>12</xdr:col>
          <xdr:colOff>1381125</xdr:colOff>
          <xdr:row>20</xdr:row>
          <xdr:rowOff>247650</xdr:rowOff>
        </xdr:to>
        <xdr:sp macro="" textlink="">
          <xdr:nvSpPr>
            <xdr:cNvPr id="1048" name="CommandButton14" hidden="1">
              <a:extLst>
                <a:ext uri="{63B3BB69-23CF-44E3-9099-C40C66FF867C}">
                  <a14:compatExt spid="_x0000_s1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21</xdr:row>
          <xdr:rowOff>19050</xdr:rowOff>
        </xdr:from>
        <xdr:to>
          <xdr:col>12</xdr:col>
          <xdr:colOff>1381125</xdr:colOff>
          <xdr:row>21</xdr:row>
          <xdr:rowOff>247650</xdr:rowOff>
        </xdr:to>
        <xdr:sp macro="" textlink="">
          <xdr:nvSpPr>
            <xdr:cNvPr id="1049" name="CommandButton15"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9525</xdr:rowOff>
        </xdr:from>
        <xdr:to>
          <xdr:col>12</xdr:col>
          <xdr:colOff>1371600</xdr:colOff>
          <xdr:row>22</xdr:row>
          <xdr:rowOff>238125</xdr:rowOff>
        </xdr:to>
        <xdr:sp macro="" textlink="">
          <xdr:nvSpPr>
            <xdr:cNvPr id="1050" name="CommandButton16"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23</xdr:row>
          <xdr:rowOff>9525</xdr:rowOff>
        </xdr:from>
        <xdr:to>
          <xdr:col>12</xdr:col>
          <xdr:colOff>1371600</xdr:colOff>
          <xdr:row>23</xdr:row>
          <xdr:rowOff>238125</xdr:rowOff>
        </xdr:to>
        <xdr:sp macro="" textlink="">
          <xdr:nvSpPr>
            <xdr:cNvPr id="1051" name="CommandButton17" hidden="1">
              <a:extLst>
                <a:ext uri="{63B3BB69-23CF-44E3-9099-C40C66FF867C}">
                  <a14:compatExt spid="_x0000_s1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24</xdr:row>
          <xdr:rowOff>19050</xdr:rowOff>
        </xdr:from>
        <xdr:to>
          <xdr:col>12</xdr:col>
          <xdr:colOff>1371600</xdr:colOff>
          <xdr:row>24</xdr:row>
          <xdr:rowOff>247650</xdr:rowOff>
        </xdr:to>
        <xdr:sp macro="" textlink="">
          <xdr:nvSpPr>
            <xdr:cNvPr id="1052" name="CommandButton18" hidden="1">
              <a:extLst>
                <a:ext uri="{63B3BB69-23CF-44E3-9099-C40C66FF867C}">
                  <a14:compatExt spid="_x0000_s1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25</xdr:row>
          <xdr:rowOff>19050</xdr:rowOff>
        </xdr:from>
        <xdr:to>
          <xdr:col>12</xdr:col>
          <xdr:colOff>1371600</xdr:colOff>
          <xdr:row>25</xdr:row>
          <xdr:rowOff>247650</xdr:rowOff>
        </xdr:to>
        <xdr:sp macro="" textlink="">
          <xdr:nvSpPr>
            <xdr:cNvPr id="1053" name="CommandButton19" hidden="1">
              <a:extLst>
                <a:ext uri="{63B3BB69-23CF-44E3-9099-C40C66FF867C}">
                  <a14:compatExt spid="_x0000_s1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26</xdr:row>
          <xdr:rowOff>28575</xdr:rowOff>
        </xdr:from>
        <xdr:to>
          <xdr:col>12</xdr:col>
          <xdr:colOff>1362075</xdr:colOff>
          <xdr:row>27</xdr:row>
          <xdr:rowOff>0</xdr:rowOff>
        </xdr:to>
        <xdr:sp macro="" textlink="">
          <xdr:nvSpPr>
            <xdr:cNvPr id="1054" name="CommandButton20"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27</xdr:row>
          <xdr:rowOff>19050</xdr:rowOff>
        </xdr:from>
        <xdr:to>
          <xdr:col>12</xdr:col>
          <xdr:colOff>1362075</xdr:colOff>
          <xdr:row>27</xdr:row>
          <xdr:rowOff>247650</xdr:rowOff>
        </xdr:to>
        <xdr:sp macro="" textlink="">
          <xdr:nvSpPr>
            <xdr:cNvPr id="1055" name="CommandButton21"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28</xdr:row>
          <xdr:rowOff>9525</xdr:rowOff>
        </xdr:from>
        <xdr:to>
          <xdr:col>12</xdr:col>
          <xdr:colOff>1362075</xdr:colOff>
          <xdr:row>28</xdr:row>
          <xdr:rowOff>238125</xdr:rowOff>
        </xdr:to>
        <xdr:sp macro="" textlink="">
          <xdr:nvSpPr>
            <xdr:cNvPr id="1056" name="CommandButton22"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29</xdr:row>
          <xdr:rowOff>0</xdr:rowOff>
        </xdr:from>
        <xdr:to>
          <xdr:col>12</xdr:col>
          <xdr:colOff>1362075</xdr:colOff>
          <xdr:row>29</xdr:row>
          <xdr:rowOff>228600</xdr:rowOff>
        </xdr:to>
        <xdr:sp macro="" textlink="">
          <xdr:nvSpPr>
            <xdr:cNvPr id="1057" name="CommandButton23" hidden="1">
              <a:extLst>
                <a:ext uri="{63B3BB69-23CF-44E3-9099-C40C66FF867C}">
                  <a14:compatExt spid="_x0000_s1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30</xdr:row>
          <xdr:rowOff>0</xdr:rowOff>
        </xdr:from>
        <xdr:to>
          <xdr:col>12</xdr:col>
          <xdr:colOff>1362075</xdr:colOff>
          <xdr:row>30</xdr:row>
          <xdr:rowOff>228600</xdr:rowOff>
        </xdr:to>
        <xdr:sp macro="" textlink="">
          <xdr:nvSpPr>
            <xdr:cNvPr id="1058" name="CommandButton24" hidden="1">
              <a:extLst>
                <a:ext uri="{63B3BB69-23CF-44E3-9099-C40C66FF867C}">
                  <a14:compatExt spid="_x0000_s1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31</xdr:row>
          <xdr:rowOff>0</xdr:rowOff>
        </xdr:from>
        <xdr:to>
          <xdr:col>12</xdr:col>
          <xdr:colOff>1362075</xdr:colOff>
          <xdr:row>31</xdr:row>
          <xdr:rowOff>228600</xdr:rowOff>
        </xdr:to>
        <xdr:sp macro="" textlink="">
          <xdr:nvSpPr>
            <xdr:cNvPr id="1059" name="CommandButton25"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32</xdr:row>
          <xdr:rowOff>0</xdr:rowOff>
        </xdr:from>
        <xdr:to>
          <xdr:col>12</xdr:col>
          <xdr:colOff>1362075</xdr:colOff>
          <xdr:row>32</xdr:row>
          <xdr:rowOff>228600</xdr:rowOff>
        </xdr:to>
        <xdr:sp macro="" textlink="">
          <xdr:nvSpPr>
            <xdr:cNvPr id="1060" name="CommandButton26" hidden="1">
              <a:extLst>
                <a:ext uri="{63B3BB69-23CF-44E3-9099-C40C66FF867C}">
                  <a14:compatExt spid="_x0000_s1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33</xdr:row>
          <xdr:rowOff>0</xdr:rowOff>
        </xdr:from>
        <xdr:to>
          <xdr:col>12</xdr:col>
          <xdr:colOff>1362075</xdr:colOff>
          <xdr:row>33</xdr:row>
          <xdr:rowOff>228600</xdr:rowOff>
        </xdr:to>
        <xdr:sp macro="" textlink="">
          <xdr:nvSpPr>
            <xdr:cNvPr id="1061" name="CommandButton27"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34</xdr:row>
          <xdr:rowOff>0</xdr:rowOff>
        </xdr:from>
        <xdr:to>
          <xdr:col>12</xdr:col>
          <xdr:colOff>1362075</xdr:colOff>
          <xdr:row>34</xdr:row>
          <xdr:rowOff>228600</xdr:rowOff>
        </xdr:to>
        <xdr:sp macro="" textlink="">
          <xdr:nvSpPr>
            <xdr:cNvPr id="1062" name="CommandButton28" hidden="1">
              <a:extLst>
                <a:ext uri="{63B3BB69-23CF-44E3-9099-C40C66FF867C}">
                  <a14:compatExt spid="_x0000_s1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35</xdr:row>
          <xdr:rowOff>0</xdr:rowOff>
        </xdr:from>
        <xdr:to>
          <xdr:col>12</xdr:col>
          <xdr:colOff>1362075</xdr:colOff>
          <xdr:row>35</xdr:row>
          <xdr:rowOff>228600</xdr:rowOff>
        </xdr:to>
        <xdr:sp macro="" textlink="">
          <xdr:nvSpPr>
            <xdr:cNvPr id="1063" name="CommandButton29"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36</xdr:row>
          <xdr:rowOff>0</xdr:rowOff>
        </xdr:from>
        <xdr:to>
          <xdr:col>12</xdr:col>
          <xdr:colOff>1362075</xdr:colOff>
          <xdr:row>36</xdr:row>
          <xdr:rowOff>228600</xdr:rowOff>
        </xdr:to>
        <xdr:sp macro="" textlink="">
          <xdr:nvSpPr>
            <xdr:cNvPr id="1064" name="CommandButton30" hidden="1">
              <a:extLst>
                <a:ext uri="{63B3BB69-23CF-44E3-9099-C40C66FF867C}">
                  <a14:compatExt spid="_x0000_s1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6</xdr:row>
          <xdr:rowOff>28575</xdr:rowOff>
        </xdr:from>
        <xdr:to>
          <xdr:col>13</xdr:col>
          <xdr:colOff>638175</xdr:colOff>
          <xdr:row>6</xdr:row>
          <xdr:rowOff>371475</xdr:rowOff>
        </xdr:to>
        <xdr:sp macro="" textlink="">
          <xdr:nvSpPr>
            <xdr:cNvPr id="1068" name="GENERATE" hidden="1">
              <a:extLst>
                <a:ext uri="{63B3BB69-23CF-44E3-9099-C40C66FF867C}">
                  <a14:compatExt spid="_x0000_s106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63" Type="http://schemas.openxmlformats.org/officeDocument/2006/relationships/image" Target="../media/image30.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61" Type="http://schemas.openxmlformats.org/officeDocument/2006/relationships/image" Target="../media/image29.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BI1120"/>
  <sheetViews>
    <sheetView tabSelected="1" zoomScaleNormal="100" workbookViewId="0">
      <selection activeCell="P15" sqref="P15"/>
    </sheetView>
  </sheetViews>
  <sheetFormatPr defaultRowHeight="15" x14ac:dyDescent="0.25"/>
  <cols>
    <col min="1" max="1" width="8" customWidth="1"/>
    <col min="2" max="2" width="13.5703125" customWidth="1"/>
    <col min="3" max="3" width="10.140625" customWidth="1"/>
    <col min="4" max="4" width="18.28515625" bestFit="1" customWidth="1"/>
    <col min="5" max="5" width="10.140625" customWidth="1"/>
    <col min="6" max="6" width="15" bestFit="1" customWidth="1"/>
    <col min="7" max="7" width="10.140625" customWidth="1"/>
    <col min="8" max="8" width="19.140625" customWidth="1"/>
    <col min="9" max="9" width="12" bestFit="1" customWidth="1"/>
    <col min="10" max="10" width="27" hidden="1" customWidth="1"/>
    <col min="11" max="11" width="27.28515625" hidden="1" customWidth="1"/>
    <col min="12" max="12" width="23.28515625" hidden="1" customWidth="1"/>
    <col min="13" max="13" width="21" customWidth="1"/>
    <col min="14" max="14" width="13.28515625" customWidth="1"/>
    <col min="15" max="15" width="13.85546875" customWidth="1"/>
    <col min="16" max="16" width="15.5703125" customWidth="1"/>
    <col min="17" max="41" width="9.140625" customWidth="1"/>
    <col min="42" max="42" width="9.140625" style="19" customWidth="1"/>
    <col min="43" max="51" width="9.140625" customWidth="1"/>
    <col min="52" max="52" width="23.42578125" customWidth="1"/>
    <col min="53" max="53" width="24.5703125" bestFit="1" customWidth="1"/>
    <col min="54" max="54" width="21.5703125" bestFit="1" customWidth="1"/>
    <col min="55" max="55" width="19.42578125" bestFit="1" customWidth="1"/>
    <col min="56" max="56" width="19" bestFit="1" customWidth="1"/>
    <col min="57" max="57" width="21.140625" bestFit="1" customWidth="1"/>
    <col min="58" max="58" width="19.7109375" bestFit="1" customWidth="1"/>
    <col min="59" max="59" width="18.5703125" bestFit="1" customWidth="1"/>
    <col min="60" max="60" width="23.42578125" bestFit="1" customWidth="1"/>
  </cols>
  <sheetData>
    <row r="2" spans="1:61" s="21" customFormat="1" ht="23.25" customHeight="1" x14ac:dyDescent="0.25">
      <c r="A2" s="28" t="s">
        <v>2</v>
      </c>
      <c r="B2" s="28"/>
      <c r="C2" s="36" t="s">
        <v>161</v>
      </c>
      <c r="D2" s="36"/>
      <c r="E2" s="36"/>
      <c r="F2" s="36"/>
      <c r="G2" s="36"/>
      <c r="H2" s="23" t="s">
        <v>64</v>
      </c>
      <c r="I2" s="24" t="s">
        <v>196</v>
      </c>
      <c r="AP2" s="19"/>
    </row>
    <row r="3" spans="1:61" s="12" customFormat="1" ht="30" customHeight="1" x14ac:dyDescent="0.25">
      <c r="A3" s="29" t="str">
        <f>IF(N3=1,"Tower hight","Tower hight up to Hamper")</f>
        <v>Tower hight</v>
      </c>
      <c r="B3" s="29"/>
      <c r="C3" s="8">
        <v>9000</v>
      </c>
      <c r="D3" s="9" t="s">
        <v>13</v>
      </c>
      <c r="E3" s="10">
        <v>2150</v>
      </c>
      <c r="F3" s="11" t="str">
        <f>IF(N3=1,"Top Width",IF(N3=2,"Tower Width at  Hamper","TowerWidth at 1st Hamper"))</f>
        <v>Top Width</v>
      </c>
      <c r="G3" s="10">
        <v>1500</v>
      </c>
      <c r="H3" s="9" t="str">
        <f>IF(N3=1,"Number of pannels","Number of pannels on 1st slope")</f>
        <v>Number of pannels</v>
      </c>
      <c r="I3" s="10">
        <v>5</v>
      </c>
      <c r="M3" s="11" t="s">
        <v>0</v>
      </c>
      <c r="N3" s="10">
        <v>1</v>
      </c>
      <c r="AP3" s="3"/>
      <c r="BB3" t="s">
        <v>197</v>
      </c>
      <c r="BC3" t="s">
        <v>198</v>
      </c>
    </row>
    <row r="4" spans="1:61" s="12" customFormat="1" ht="30" hidden="1" customHeight="1" thickBot="1" x14ac:dyDescent="0.3">
      <c r="A4" s="30" t="s">
        <v>18</v>
      </c>
      <c r="B4" s="31"/>
      <c r="C4" s="32"/>
      <c r="D4" s="14" t="str">
        <f>IF(N3=2,"Tower hight from hamper to top","Tower hight up to 2nd hamper")</f>
        <v>Tower hight up to 2nd hamper</v>
      </c>
      <c r="E4" s="15">
        <v>9000</v>
      </c>
      <c r="F4" s="14" t="str">
        <f>IF(N3=2,"Tower Top Width","Tower Width at 2nd Hamper")</f>
        <v>Tower Width at 2nd Hamper</v>
      </c>
      <c r="G4" s="15">
        <v>1500</v>
      </c>
      <c r="H4" s="9" t="s">
        <v>24</v>
      </c>
      <c r="I4" s="10">
        <v>6</v>
      </c>
      <c r="N4"/>
      <c r="O4"/>
      <c r="AP4" s="3"/>
      <c r="BA4" s="12" t="str">
        <f>SUBSTITUTE(C2,"\","\\")</f>
        <v>C:\\Users\\ktvr\\Desktop\\SLD</v>
      </c>
      <c r="BB4" t="s">
        <v>199</v>
      </c>
      <c r="BC4" t="s">
        <v>200</v>
      </c>
    </row>
    <row r="5" spans="1:61" s="12" customFormat="1" ht="30" hidden="1" customHeight="1" thickBot="1" x14ac:dyDescent="0.3">
      <c r="A5" s="33" t="s">
        <v>19</v>
      </c>
      <c r="B5" s="34"/>
      <c r="C5" s="35"/>
      <c r="D5" s="9" t="s">
        <v>20</v>
      </c>
      <c r="E5" s="10">
        <v>0</v>
      </c>
      <c r="F5" s="13" t="s">
        <v>14</v>
      </c>
      <c r="G5" s="10">
        <v>0</v>
      </c>
      <c r="H5" s="9" t="s">
        <v>25</v>
      </c>
      <c r="I5" s="10">
        <v>0</v>
      </c>
      <c r="J5"/>
      <c r="K5"/>
      <c r="L5"/>
      <c r="M5"/>
      <c r="N5"/>
      <c r="O5"/>
      <c r="AP5" s="3"/>
    </row>
    <row r="6" spans="1:61" x14ac:dyDescent="0.25">
      <c r="AZ6">
        <v>1</v>
      </c>
      <c r="BA6" t="s">
        <v>21</v>
      </c>
    </row>
    <row r="7" spans="1:61" s="3" customFormat="1" ht="36.75" customHeight="1" x14ac:dyDescent="0.25">
      <c r="A7" s="4" t="s">
        <v>3</v>
      </c>
      <c r="B7" s="4" t="s">
        <v>4</v>
      </c>
      <c r="C7" s="4" t="s">
        <v>7</v>
      </c>
      <c r="D7" s="4" t="s">
        <v>5</v>
      </c>
      <c r="E7" s="4" t="s">
        <v>7</v>
      </c>
      <c r="F7" s="4" t="s">
        <v>6</v>
      </c>
      <c r="G7" s="4" t="s">
        <v>7</v>
      </c>
      <c r="H7" s="4" t="s">
        <v>8</v>
      </c>
      <c r="I7" s="4" t="s">
        <v>9</v>
      </c>
      <c r="J7" s="4" t="s">
        <v>15</v>
      </c>
      <c r="K7" s="4" t="s">
        <v>16</v>
      </c>
      <c r="L7" s="4" t="s">
        <v>10</v>
      </c>
      <c r="M7"/>
      <c r="AR7" s="3" t="s">
        <v>202</v>
      </c>
    </row>
    <row r="8" spans="1:61" ht="20.25" customHeight="1" x14ac:dyDescent="0.25">
      <c r="A8" s="6">
        <v>1</v>
      </c>
      <c r="B8" s="5" t="s">
        <v>65</v>
      </c>
      <c r="C8" s="5" t="s">
        <v>66</v>
      </c>
      <c r="D8" s="5" t="s">
        <v>67</v>
      </c>
      <c r="E8" s="5" t="s">
        <v>12</v>
      </c>
      <c r="F8" s="5" t="s">
        <v>68</v>
      </c>
      <c r="G8" s="5" t="s">
        <v>12</v>
      </c>
      <c r="H8" s="7">
        <v>3000</v>
      </c>
      <c r="I8" s="16" t="s">
        <v>17</v>
      </c>
      <c r="J8" s="2"/>
      <c r="K8" s="2"/>
      <c r="L8" s="2"/>
      <c r="AR8" t="s">
        <v>203</v>
      </c>
      <c r="BA8" s="3" t="str">
        <f>IF(B8="","",CONCATENATE("(setq t1 ",$BA$6,B8,$BA$6,")"))</f>
        <v>(setq t1 "L100x100x10")</v>
      </c>
      <c r="BB8" s="3" t="str">
        <f>IF(C8="","",CONCATENATE("(setq t1_1 ",$BA$6,C8,$BA$6,")"))</f>
        <v>(setq t1_1 "12- M16 DS")</v>
      </c>
      <c r="BC8" s="3" t="str">
        <f>IF(D8="","",CONCATENATE("(setq tt1 ",$BA$6,D8,$BA$6,")"))</f>
        <v>(setq tt1 "L60x60x6")</v>
      </c>
      <c r="BD8" s="3" t="str">
        <f>IF(E8="","",CONCATENATE("(setq tt1_1 ",$BA$6,E8,$BA$6,")"))</f>
        <v>(setq tt1_1 "2-M16")</v>
      </c>
      <c r="BE8" s="3" t="str">
        <f>IF(F8="","",CONCATENATE("(setq ttt1 ",$BA$6,F8,$BA$6,")"))</f>
        <v>(setq ttt1 "L45x45x5")</v>
      </c>
      <c r="BF8" s="3" t="str">
        <f>IF(G8="","",CONCATENATE("(setq ttt1_1 ",$BA$6,G8,$BA$6,")"))</f>
        <v>(setq ttt1_1 "2-M16")</v>
      </c>
      <c r="BG8" s="3" t="str">
        <f>IF(H8="","",CONCATENATE("(setq pnum1 ",H8,")"))</f>
        <v>(setq pnum1 3000)</v>
      </c>
      <c r="BH8" t="str">
        <f>IF(N3=1,CONCATENATE("(setq npanelss ",I3,")"),IF(N3=2,CONCATENATE("(setq npanelss ",(I3+I4),")"),IF(N3=3,CONCATENATE("(setq npanelss",(I3+I4+I5),")"))))</f>
        <v>(setq npanelss 5)</v>
      </c>
      <c r="BI8" s="3"/>
    </row>
    <row r="9" spans="1:61" ht="20.25" customHeight="1" x14ac:dyDescent="0.25">
      <c r="A9" s="6">
        <v>2</v>
      </c>
      <c r="B9" s="17" t="s">
        <v>69</v>
      </c>
      <c r="C9" s="17" t="s">
        <v>66</v>
      </c>
      <c r="D9" s="17" t="s">
        <v>68</v>
      </c>
      <c r="E9" s="17" t="s">
        <v>12</v>
      </c>
      <c r="F9" s="17" t="s">
        <v>70</v>
      </c>
      <c r="G9" s="17"/>
      <c r="H9" s="7">
        <v>1500</v>
      </c>
      <c r="I9" s="16" t="s">
        <v>17</v>
      </c>
      <c r="J9" s="2"/>
      <c r="K9" s="2"/>
      <c r="L9" s="2"/>
      <c r="AR9" t="s">
        <v>204</v>
      </c>
      <c r="BA9" s="3" t="str">
        <f>IF(B9="","",CONCATENATE("(setq t2 ",$BA$6,B9,$BA$6,")"))</f>
        <v>(setq t2 "L100x100x8")</v>
      </c>
      <c r="BB9" s="3" t="str">
        <f>IF(C9="","",CONCATENATE("(setq t2_1 ",$BA$6,C9,$BA$6,")"))</f>
        <v>(setq t2_1 "12- M16 DS")</v>
      </c>
      <c r="BC9" s="3" t="str">
        <f>IF(D9="","",CONCATENATE("(setq tt2 ",$BA$6,D9,$BA$6,")"))</f>
        <v>(setq tt2 "L45x45x5")</v>
      </c>
      <c r="BD9" s="3" t="str">
        <f>IF(E9="","",CONCATENATE("(setq tt2_1 ",$BA$6,E9,$BA$6,")"))</f>
        <v>(setq tt2_1 "2-M16")</v>
      </c>
      <c r="BE9" s="3" t="str">
        <f>IF(F9="","",CONCATENATE("(setq ttt2 ",$BA$6,F9,$BA$6,")"))</f>
        <v>(setq ttt2 "-")</v>
      </c>
      <c r="BF9" s="3" t="str">
        <f>IF(G9="","",CONCATENATE("(setq ttt2_1 ",$BA$6,G9,$BA$6,")"))</f>
        <v/>
      </c>
      <c r="BG9" s="3" t="str">
        <f>IF(H9="","",CONCATENATE("(setq pnum2 ",H9,")"))</f>
        <v>(setq pnum2 1500)</v>
      </c>
      <c r="BH9" t="str">
        <f>IF(N3=1,CONCATENATE("(setq tower_hight ",C3,")"),IF(N3=2,CONCATENATE("(setq tower_hight ",(C3+E4),")"),IF(N3=3,CONCATENATE("(setq tower_hight ",(C3+E4+E5),")"))))</f>
        <v>(setq tower_hight 9000)</v>
      </c>
    </row>
    <row r="10" spans="1:61" ht="20.25" customHeight="1" x14ac:dyDescent="0.25">
      <c r="A10" s="6">
        <v>3</v>
      </c>
      <c r="B10" s="17" t="s">
        <v>69</v>
      </c>
      <c r="C10" s="5" t="s">
        <v>70</v>
      </c>
      <c r="D10" s="17" t="s">
        <v>68</v>
      </c>
      <c r="E10" s="5" t="s">
        <v>12</v>
      </c>
      <c r="F10" s="17" t="s">
        <v>70</v>
      </c>
      <c r="G10" s="5"/>
      <c r="H10" s="7">
        <v>1500</v>
      </c>
      <c r="I10" s="16" t="s">
        <v>17</v>
      </c>
      <c r="J10" s="2"/>
      <c r="K10" s="2"/>
      <c r="L10" s="2"/>
      <c r="S10">
        <f>SUM(H8:H37)</f>
        <v>18000</v>
      </c>
      <c r="AR10" t="s">
        <v>205</v>
      </c>
      <c r="BA10" s="3" t="str">
        <f>IF(B10="","",CONCATENATE("(setq t3 ",$BA$6,B10,$BA$6,")"))</f>
        <v>(setq t3 "L100x100x8")</v>
      </c>
      <c r="BB10" s="3" t="str">
        <f>IF(C10="","",CONCATENATE("(setq t3_1 ",$BA$6,C10,$BA$6,")"))</f>
        <v>(setq t3_1 "-")</v>
      </c>
      <c r="BC10" s="3" t="str">
        <f>IF(D10="","",CONCATENATE("(setq tt3 ",$BA$6,D10,$BA$6,")"))</f>
        <v>(setq tt3 "L45x45x5")</v>
      </c>
      <c r="BD10" s="3" t="str">
        <f>IF(E10="","",CONCATENATE("(setq tt3_1 ",$BA$6,E10,$BA$6,")"))</f>
        <v>(setq tt3_1 "2-M16")</v>
      </c>
      <c r="BE10" s="3" t="str">
        <f>IF(F10="","",CONCATENATE("(setq ttt3 ",$BA$6,F10,$BA$6,")"))</f>
        <v>(setq ttt3 "-")</v>
      </c>
      <c r="BF10" s="3" t="str">
        <f>IF(G10="","",CONCATENATE("(setq ttt3_1 ",$BA$6,G10,$BA$6,")"))</f>
        <v/>
      </c>
      <c r="BG10" s="3" t="str">
        <f>IF(H10="","",CONCATENATE("(setq pnum3 ",H10,")"))</f>
        <v>(setq pnum3 1500)</v>
      </c>
      <c r="BH10" t="str">
        <f>IF(N3=1,CONCATENATE("(setq tower_top ",G3,")"),IF(N3=2,CONCATENATE("(setq tower_top ",G4,")"),IF(N3=3,CONCATENATE("(setq tower_top ",G5,")"))))</f>
        <v>(setq tower_top 1500)</v>
      </c>
    </row>
    <row r="11" spans="1:61" ht="20.25" customHeight="1" x14ac:dyDescent="0.25">
      <c r="A11" s="6">
        <v>4</v>
      </c>
      <c r="B11" s="5" t="s">
        <v>71</v>
      </c>
      <c r="C11" s="5" t="s">
        <v>11</v>
      </c>
      <c r="D11" s="17" t="s">
        <v>68</v>
      </c>
      <c r="E11" s="5" t="s">
        <v>12</v>
      </c>
      <c r="F11" s="17" t="s">
        <v>70</v>
      </c>
      <c r="G11" s="5"/>
      <c r="H11" s="7">
        <v>1500</v>
      </c>
      <c r="I11" s="16" t="s">
        <v>17</v>
      </c>
      <c r="J11" s="2"/>
      <c r="K11" s="2"/>
      <c r="L11" s="2"/>
      <c r="S11">
        <f>C3+E4+E5</f>
        <v>18000</v>
      </c>
      <c r="AR11" t="s">
        <v>206</v>
      </c>
      <c r="BA11" s="3" t="str">
        <f>IF(B11="","",CONCATENATE("(setq t4 ",$BA$6,B11,$BA$6,")"))</f>
        <v>(setq t4 "L90x90x6")</v>
      </c>
      <c r="BB11" s="3" t="str">
        <f>IF(C11="","",CONCATENATE("(setq t4_1 ",$BA$6,C11,$BA$6,")"))</f>
        <v>(setq t4_1 "8- M16 DS")</v>
      </c>
      <c r="BC11" s="3" t="str">
        <f>IF(D11="","",CONCATENATE("(setq tt4 ",$BA$6,D11,$BA$6,")"))</f>
        <v>(setq tt4 "L45x45x5")</v>
      </c>
      <c r="BD11" s="3" t="str">
        <f>IF(E11="","",CONCATENATE("(setq tt4_1 ",$BA$6,E11,$BA$6,")"))</f>
        <v>(setq tt4_1 "2-M16")</v>
      </c>
      <c r="BE11" s="3" t="str">
        <f>IF(F11="","",CONCATENATE("(setq ttt4 ",$BA$6,F11,$BA$6,")"))</f>
        <v>(setq ttt4 "-")</v>
      </c>
      <c r="BF11" s="3" t="str">
        <f>IF(G11="","",CONCATENATE("(setq ttt4_1 ",$BA$6,G11,$BA$6,")"))</f>
        <v/>
      </c>
      <c r="BG11" s="3" t="str">
        <f>IF(H11="","",CONCATENATE("(setq pnum4 ",H11,")"))</f>
        <v>(setq pnum4 1500)</v>
      </c>
      <c r="BH11" t="str">
        <f>CONCATENATE("(setq bw ",E3,")")</f>
        <v>(setq bw 2150)</v>
      </c>
    </row>
    <row r="12" spans="1:61" ht="20.25" customHeight="1" x14ac:dyDescent="0.25">
      <c r="A12" s="6">
        <v>5</v>
      </c>
      <c r="B12" s="17" t="s">
        <v>71</v>
      </c>
      <c r="C12" s="5" t="s">
        <v>70</v>
      </c>
      <c r="D12" s="17" t="s">
        <v>68</v>
      </c>
      <c r="E12" s="5" t="s">
        <v>12</v>
      </c>
      <c r="F12" s="17" t="s">
        <v>70</v>
      </c>
      <c r="G12" s="5"/>
      <c r="H12" s="7">
        <v>1500</v>
      </c>
      <c r="I12" s="16" t="s">
        <v>17</v>
      </c>
      <c r="J12" s="2"/>
      <c r="K12" s="2"/>
      <c r="L12" s="2"/>
      <c r="AR12" t="s">
        <v>207</v>
      </c>
      <c r="BA12" s="3" t="str">
        <f>IF(B12="","",CONCATENATE("(setq t5 ",$BA$6,B12,$BA$6,")"))</f>
        <v>(setq t5 "L90x90x6")</v>
      </c>
      <c r="BB12" s="3" t="str">
        <f>IF(C12="","",CONCATENATE("(setq t5_1 ",$BA$6,C12,$BA$6,")"))</f>
        <v>(setq t5_1 "-")</v>
      </c>
      <c r="BC12" s="3" t="str">
        <f>IF(D12="","",CONCATENATE("(setq tt5 ",$BA$6,D12,$BA$6,")"))</f>
        <v>(setq tt5 "L45x45x5")</v>
      </c>
      <c r="BD12" s="3" t="str">
        <f>IF(E12="","",CONCATENATE("(setq tt5_1 ",$BA$6,E12,$BA$6,")"))</f>
        <v>(setq tt5_1 "2-M16")</v>
      </c>
      <c r="BE12" s="3" t="str">
        <f>IF(F12="","",CONCATENATE("(setq ttt5 ",$BA$6,F12,$BA$6,")"))</f>
        <v>(setq ttt5 "-")</v>
      </c>
      <c r="BF12" s="3" t="str">
        <f>IF(G12="","",CONCATENATE("(setq ttt5_1 ",$BA$6,G12,$BA$6,")"))</f>
        <v/>
      </c>
      <c r="BG12" s="3" t="str">
        <f>IF(H12="","",CONCATENATE("(setq pnum5 ",H12,")"))</f>
        <v>(setq pnum5 1500)</v>
      </c>
      <c r="BH12" t="str">
        <f>CONCATENATE("(setq noofslps ",N3,")")</f>
        <v>(setq noofslps 1)</v>
      </c>
    </row>
    <row r="13" spans="1:61" ht="20.25" customHeight="1" x14ac:dyDescent="0.25">
      <c r="A13" s="6">
        <v>6</v>
      </c>
      <c r="B13" s="17" t="s">
        <v>71</v>
      </c>
      <c r="C13" s="5" t="s">
        <v>11</v>
      </c>
      <c r="D13" s="17" t="s">
        <v>68</v>
      </c>
      <c r="E13" s="5" t="s">
        <v>12</v>
      </c>
      <c r="F13" s="17" t="s">
        <v>68</v>
      </c>
      <c r="G13" s="5" t="s">
        <v>12</v>
      </c>
      <c r="H13" s="7">
        <v>1500</v>
      </c>
      <c r="I13" s="16" t="s">
        <v>17</v>
      </c>
      <c r="J13" s="2"/>
      <c r="K13" s="2"/>
      <c r="L13" s="2"/>
      <c r="AR13" t="s">
        <v>208</v>
      </c>
      <c r="BA13" s="3" t="str">
        <f>IF(B13="","",CONCATENATE("(setq t6 ",$BA$6,B13,$BA$6,")"))</f>
        <v>(setq t6 "L90x90x6")</v>
      </c>
      <c r="BB13" s="3" t="str">
        <f>IF(C13="","",CONCATENATE("(setq t6_1 ",$BA$6,C13,$BA$6,")"))</f>
        <v>(setq t6_1 "8- M16 DS")</v>
      </c>
      <c r="BC13" s="3" t="str">
        <f>IF(D13="","",CONCATENATE("(setq tt6 ",$BA$6,D13,$BA$6,")"))</f>
        <v>(setq tt6 "L45x45x5")</v>
      </c>
      <c r="BD13" s="3" t="str">
        <f>IF(E13="","",CONCATENATE("(setq tt6_1 ",$BA$6,E13,$BA$6,")"))</f>
        <v>(setq tt6_1 "2-M16")</v>
      </c>
      <c r="BE13" s="3" t="str">
        <f>IF(F13="","",CONCATENATE("(setq ttt6 ",$BA$6,F13,$BA$6,")"))</f>
        <v>(setq ttt6 "L45x45x5")</v>
      </c>
      <c r="BF13" s="3" t="str">
        <f>IF(G13="","",CONCATENATE("(setq ttt6_1 ",$BA$6,G13,$BA$6,")"))</f>
        <v>(setq ttt6_1 "2-M16")</v>
      </c>
      <c r="BG13" s="3" t="str">
        <f>IF(H13="","",CONCATENATE("(setq pnum6 ",H13,")"))</f>
        <v>(setq pnum6 1500)</v>
      </c>
      <c r="BH13" t="str">
        <f>CONCATENATE("(setq designname ",$BA$6,I2,$BA$6,")")</f>
        <v>(setq designname "SLD_TEST")</v>
      </c>
    </row>
    <row r="14" spans="1:61" ht="20.25" customHeight="1" x14ac:dyDescent="0.25">
      <c r="A14" s="6">
        <v>7</v>
      </c>
      <c r="B14" s="17" t="s">
        <v>71</v>
      </c>
      <c r="C14" s="5" t="s">
        <v>70</v>
      </c>
      <c r="D14" s="17" t="s">
        <v>68</v>
      </c>
      <c r="E14" s="5" t="s">
        <v>12</v>
      </c>
      <c r="F14" s="5" t="s">
        <v>70</v>
      </c>
      <c r="G14" s="17"/>
      <c r="H14" s="7">
        <v>1500</v>
      </c>
      <c r="I14" s="16" t="s">
        <v>17</v>
      </c>
      <c r="J14" s="2"/>
      <c r="K14" s="2"/>
      <c r="L14" s="2"/>
      <c r="AR14" t="s">
        <v>209</v>
      </c>
      <c r="BA14" s="3" t="str">
        <f>IF(B14="","",CONCATENATE("(setq t7 ",$BA$6,B14,$BA$6,")"))</f>
        <v>(setq t7 "L90x90x6")</v>
      </c>
      <c r="BB14" s="3" t="str">
        <f>IF(C14="","",CONCATENATE("(setq t7_1 ",$BA$6,C14,$BA$6,")"))</f>
        <v>(setq t7_1 "-")</v>
      </c>
      <c r="BC14" s="3" t="str">
        <f>IF(D14="","",CONCATENATE("(setq tt7 ",$BA$6,D14,$BA$6,")"))</f>
        <v>(setq tt7 "L45x45x5")</v>
      </c>
      <c r="BD14" s="3" t="str">
        <f>IF(E14="","",CONCATENATE("(setq tt7_1 ",$BA$6,E14,$BA$6,")"))</f>
        <v>(setq tt7_1 "2-M16")</v>
      </c>
      <c r="BE14" s="3" t="str">
        <f>IF(F14="","",CONCATENATE("(setq ttt7 ",$BA$6,F14,$BA$6,")"))</f>
        <v>(setq ttt7 "-")</v>
      </c>
      <c r="BF14" s="3" t="str">
        <f>IF(G17="","",CONCATENATE("(setq ttt7_1 ",$BA$6,G17,$BA$6,")"))</f>
        <v>(setq ttt7_1 "2-M16")</v>
      </c>
      <c r="BG14" s="3" t="str">
        <f>IF(H14="","",CONCATENATE("(setq pnum7 ",H14,")"))</f>
        <v>(setq pnum7 1500)</v>
      </c>
    </row>
    <row r="15" spans="1:61" ht="20.25" customHeight="1" x14ac:dyDescent="0.25">
      <c r="A15" s="6">
        <v>8</v>
      </c>
      <c r="B15" s="5" t="s">
        <v>72</v>
      </c>
      <c r="C15" s="5" t="s">
        <v>11</v>
      </c>
      <c r="D15" s="17" t="s">
        <v>68</v>
      </c>
      <c r="E15" s="5" t="s">
        <v>12</v>
      </c>
      <c r="F15" s="17" t="s">
        <v>68</v>
      </c>
      <c r="G15" s="5" t="s">
        <v>12</v>
      </c>
      <c r="H15" s="7">
        <v>1500</v>
      </c>
      <c r="I15" s="16" t="s">
        <v>17</v>
      </c>
      <c r="J15" s="2"/>
      <c r="K15" s="2"/>
      <c r="L15" s="2"/>
      <c r="AR15" t="s">
        <v>210</v>
      </c>
      <c r="BA15" s="3" t="str">
        <f>IF(B15="","",CONCATENATE("(setq t8 ",$BA$6,B15,$BA$6,")"))</f>
        <v>(setq t8 "L75x75x5")</v>
      </c>
      <c r="BB15" s="3" t="str">
        <f>IF(C15="","",CONCATENATE("(setq t8_1 ",$BA$6,C15,$BA$6,")"))</f>
        <v>(setq t8_1 "8- M16 DS")</v>
      </c>
      <c r="BC15" s="3" t="str">
        <f>IF(D15="","",CONCATENATE("(setq tt8 ",$BA$6,D15,$BA$6,")"))</f>
        <v>(setq tt8 "L45x45x5")</v>
      </c>
      <c r="BD15" s="3" t="str">
        <f>IF(E15="","",CONCATENATE("(setq tt8_1 ",$BA$6,E15,$BA$6,")"))</f>
        <v>(setq tt8_1 "2-M16")</v>
      </c>
      <c r="BE15" s="3" t="str">
        <f>IF(F15="","",CONCATENATE("(setq ttt8 ",$BA$6,F15,$BA$6,")"))</f>
        <v>(setq ttt8 "L45x45x5")</v>
      </c>
      <c r="BF15" s="3" t="str">
        <f>IF(G15="","",CONCATENATE("(setq ttt8_1 ",$BA$6,G15,$BA$6,")"))</f>
        <v>(setq ttt8_1 "2-M16")</v>
      </c>
      <c r="BG15" s="3" t="str">
        <f>IF(H15="","",CONCATENATE("(setq pnum8 ",H15,")"))</f>
        <v>(setq pnum8 1500)</v>
      </c>
    </row>
    <row r="16" spans="1:61" ht="20.25" customHeight="1" x14ac:dyDescent="0.25">
      <c r="A16" s="6">
        <v>9</v>
      </c>
      <c r="B16" s="17" t="s">
        <v>72</v>
      </c>
      <c r="C16" s="5" t="s">
        <v>70</v>
      </c>
      <c r="D16" s="17" t="s">
        <v>68</v>
      </c>
      <c r="E16" s="17" t="s">
        <v>12</v>
      </c>
      <c r="F16" s="5" t="s">
        <v>70</v>
      </c>
      <c r="G16" s="5"/>
      <c r="H16" s="7">
        <v>1500</v>
      </c>
      <c r="I16" s="16" t="s">
        <v>17</v>
      </c>
      <c r="J16" s="2"/>
      <c r="K16" s="2"/>
      <c r="L16" s="2"/>
      <c r="AR16" t="s">
        <v>211</v>
      </c>
      <c r="BA16" s="3" t="str">
        <f>IF(B16="","",CONCATENATE("(setq t9 ",$BA$6,B16,$BA$6,")"))</f>
        <v>(setq t9 "L75x75x5")</v>
      </c>
      <c r="BB16" s="3" t="str">
        <f>IF(C16="","",CONCATENATE("(setq t9_1 ",$BA$6,C16,$BA$6,")"))</f>
        <v>(setq t9_1 "-")</v>
      </c>
      <c r="BC16" s="3" t="str">
        <f>IF(D16="","",CONCATENATE("(setq tt9 ",$BA$6,D16,$BA$6,")"))</f>
        <v>(setq tt9 "L45x45x5")</v>
      </c>
      <c r="BD16" s="3" t="str">
        <f>IF(E16="","",CONCATENATE("(setq tt9_1 ",$BA$6,E16,$BA$6,")"))</f>
        <v>(setq tt9_1 "2-M16")</v>
      </c>
      <c r="BE16" s="3" t="str">
        <f>IF(F16="","",CONCATENATE("(setq ttt9 ",$BA$6,F16,$BA$6,")"))</f>
        <v>(setq ttt9 "-")</v>
      </c>
      <c r="BF16" s="3" t="str">
        <f>IF(G16="","",CONCATENATE("(setq ttt9_1 ",$BA$6,G16,$BA$6,")"))</f>
        <v/>
      </c>
      <c r="BG16" s="3" t="str">
        <f>IF(H16="","",CONCATENATE("(setq pnum9 ",H16,")"))</f>
        <v>(setq pnum9 1500)</v>
      </c>
    </row>
    <row r="17" spans="1:59" ht="20.25" customHeight="1" x14ac:dyDescent="0.25">
      <c r="A17" s="6">
        <v>10</v>
      </c>
      <c r="B17" s="17" t="s">
        <v>72</v>
      </c>
      <c r="C17" s="5" t="s">
        <v>70</v>
      </c>
      <c r="D17" s="17" t="s">
        <v>68</v>
      </c>
      <c r="E17" s="17" t="s">
        <v>12</v>
      </c>
      <c r="F17" s="17" t="s">
        <v>68</v>
      </c>
      <c r="G17" s="5" t="s">
        <v>12</v>
      </c>
      <c r="H17" s="7">
        <v>1500</v>
      </c>
      <c r="I17" s="16" t="s">
        <v>17</v>
      </c>
      <c r="J17" s="2"/>
      <c r="K17" s="2"/>
      <c r="L17" s="2"/>
      <c r="AR17" t="s">
        <v>212</v>
      </c>
      <c r="BA17" s="3" t="str">
        <f>IF(B17="","",CONCATENATE("(setq t10 ",$BA$6,B17,$BA$6,")"))</f>
        <v>(setq t10 "L75x75x5")</v>
      </c>
      <c r="BB17" s="3" t="str">
        <f>IF(C17="","",CONCATENATE("(setq t10_1 ",$BA$6,C17,$BA$6,")"))</f>
        <v>(setq t10_1 "-")</v>
      </c>
      <c r="BC17" s="3" t="str">
        <f>IF(D17="","",CONCATENATE("(setq tt10 ",$BA$6,D17,$BA$6,")"))</f>
        <v>(setq tt10 "L45x45x5")</v>
      </c>
      <c r="BD17" s="3" t="str">
        <f>IF(E17="","",CONCATENATE("(setq tt10_1 ",$BA$6,E17,$BA$6,")"))</f>
        <v>(setq tt10_1 "2-M16")</v>
      </c>
      <c r="BE17" s="3" t="str">
        <f>IF(F17="","",CONCATENATE("(setq ttt10 ",$BA$6,F17,$BA$6,")"))</f>
        <v>(setq ttt10 "L45x45x5")</v>
      </c>
      <c r="BF17" s="3" t="str">
        <f>IF(G17="","",CONCATENATE("(setq ttt9_1 ",$BA$6,G17,$BA$6,")"))</f>
        <v>(setq ttt9_1 "2-M16")</v>
      </c>
      <c r="BG17" s="3" t="str">
        <f>IF(H17="","",CONCATENATE("(setq pnum10 ",H17,")"))</f>
        <v>(setq pnum10 1500)</v>
      </c>
    </row>
    <row r="18" spans="1:59" ht="20.25" customHeight="1" x14ac:dyDescent="0.25">
      <c r="A18" s="6">
        <v>11</v>
      </c>
      <c r="B18" s="17" t="s">
        <v>72</v>
      </c>
      <c r="C18" s="5" t="s">
        <v>70</v>
      </c>
      <c r="D18" s="17" t="s">
        <v>68</v>
      </c>
      <c r="E18" s="17" t="s">
        <v>12</v>
      </c>
      <c r="F18" s="17" t="s">
        <v>68</v>
      </c>
      <c r="G18" s="17" t="s">
        <v>12</v>
      </c>
      <c r="H18" s="7">
        <v>1500</v>
      </c>
      <c r="I18" s="16" t="s">
        <v>17</v>
      </c>
      <c r="J18" s="2"/>
      <c r="K18" s="2"/>
      <c r="L18" s="2"/>
      <c r="AR18" t="s">
        <v>213</v>
      </c>
      <c r="BA18" s="3" t="str">
        <f>IF(B18="","",CONCATENATE("(setq t11 ",$BA$6,B18,$BA$6,")"))</f>
        <v>(setq t11 "L75x75x5")</v>
      </c>
      <c r="BB18" s="3" t="str">
        <f>IF(C18="","",CONCATENATE("(setq t11_1 ",$BA$6,C18,$BA$6,")"))</f>
        <v>(setq t11_1 "-")</v>
      </c>
      <c r="BC18" s="3" t="str">
        <f>IF(D18="","",CONCATENATE("(setq tt11 ",$BA$6,D18,$BA$6,")"))</f>
        <v>(setq tt11 "L45x45x5")</v>
      </c>
      <c r="BD18" s="3" t="str">
        <f>IF(E18="","",CONCATENATE("(setq tt11_1 ",$BA$6,E18,$BA$6,")"))</f>
        <v>(setq tt11_1 "2-M16")</v>
      </c>
      <c r="BE18" s="3" t="str">
        <f>IF(F18="","",CONCATENATE("(setq ttt11 ",$BA$6,F18,$BA$6,")"))</f>
        <v>(setq ttt11 "L45x45x5")</v>
      </c>
      <c r="BF18" s="3" t="str">
        <f>IF(G18="","",CONCATENATE("(setq ttt11_1 ",$BA$6,G18,$BA$6,")"))</f>
        <v>(setq ttt11_1 "2-M16")</v>
      </c>
      <c r="BG18" s="3" t="str">
        <f>IF(H18="","",CONCATENATE("(setq pnum11 ",H18,")"))</f>
        <v>(setq pnum11 1500)</v>
      </c>
    </row>
    <row r="19" spans="1:59" ht="20.25" customHeight="1" x14ac:dyDescent="0.25">
      <c r="A19" s="6">
        <v>12</v>
      </c>
      <c r="B19" s="5"/>
      <c r="C19" s="5"/>
      <c r="D19" s="5"/>
      <c r="E19" s="5"/>
      <c r="F19" s="5"/>
      <c r="G19" s="5"/>
      <c r="H19" s="7"/>
      <c r="I19" s="7"/>
      <c r="J19" s="2"/>
      <c r="K19" s="2"/>
      <c r="L19" s="2"/>
      <c r="AR19" t="s">
        <v>213</v>
      </c>
      <c r="BA19" s="3" t="str">
        <f>IF(B19="","",CONCATENATE("(setq t12 ",$BA$6,B19,$BA$6,")"))</f>
        <v/>
      </c>
      <c r="BB19" s="3" t="str">
        <f>IF(C19="","",CONCATENATE("(setq t12_1 ",$BA$6,C19,$BA$6,")"))</f>
        <v/>
      </c>
      <c r="BC19" s="3" t="str">
        <f>IF(D19="","",CONCATENATE("(setq tt12 ",$BA$6,D19,$BA$6,")"))</f>
        <v/>
      </c>
      <c r="BD19" s="3" t="str">
        <f>IF(E19="","",CONCATENATE("(setq tt12_1 ",$BA$6,E19,$BA$6,")"))</f>
        <v/>
      </c>
      <c r="BE19" s="3" t="str">
        <f>IF(F19="","",CONCATENATE("(setq ttt12 ",$BA$6,F19,$BA$6,")"))</f>
        <v/>
      </c>
      <c r="BF19" s="3" t="str">
        <f>IF(G19="","",CONCATENATE("(setq ttt12_1 ",$BA$6,G19,$BA$6,")"))</f>
        <v/>
      </c>
      <c r="BG19" s="3" t="str">
        <f>IF(H19="","",CONCATENATE("(setq pnum12 ",H19,")"))</f>
        <v/>
      </c>
    </row>
    <row r="20" spans="1:59" ht="20.25" customHeight="1" x14ac:dyDescent="0.25">
      <c r="A20" s="6">
        <v>13</v>
      </c>
      <c r="B20" s="5"/>
      <c r="C20" s="5"/>
      <c r="D20" s="5"/>
      <c r="E20" s="5"/>
      <c r="F20" s="5"/>
      <c r="G20" s="5"/>
      <c r="H20" s="7"/>
      <c r="I20" s="7"/>
      <c r="J20" s="2"/>
      <c r="K20" s="2"/>
      <c r="L20" s="2"/>
      <c r="AR20" t="s">
        <v>213</v>
      </c>
      <c r="BA20" s="3" t="str">
        <f>IF(B20="","",CONCATENATE("(setq t13 ",$BA$6,B20,$BA$6,")"))</f>
        <v/>
      </c>
      <c r="BB20" s="3" t="str">
        <f>IF(C20="","",CONCATENATE("(setq t13_1 ",$BA$6,C20,$BA$6,")"))</f>
        <v/>
      </c>
      <c r="BC20" s="3" t="str">
        <f>IF(D20="","",CONCATENATE("(setq tt13 ",$BA$6,D20,$BA$6,")"))</f>
        <v/>
      </c>
      <c r="BD20" s="3" t="str">
        <f>IF(E20="","",CONCATENATE("(setq tt13_1 ",$BA$6,E20,$BA$6,")"))</f>
        <v/>
      </c>
      <c r="BE20" s="3" t="str">
        <f>IF(F20="","",CONCATENATE("(setq ttt13 ",$BA$6,F20,$BA$6,")"))</f>
        <v/>
      </c>
      <c r="BF20" s="3" t="str">
        <f>IF(G20="","",CONCATENATE("(setq ttt13_1 ",$BA$6,G20,$BA$6,")"))</f>
        <v/>
      </c>
      <c r="BG20" s="3" t="str">
        <f>IF(H20="","",CONCATENATE("(setq pnum13 ",H20,")"))</f>
        <v/>
      </c>
    </row>
    <row r="21" spans="1:59" ht="20.25" customHeight="1" x14ac:dyDescent="0.25">
      <c r="A21" s="6">
        <v>14</v>
      </c>
      <c r="B21" s="5"/>
      <c r="C21" s="5"/>
      <c r="D21" s="5"/>
      <c r="E21" s="5"/>
      <c r="F21" s="5"/>
      <c r="G21" s="5"/>
      <c r="H21" s="7"/>
      <c r="I21" s="7"/>
      <c r="J21" s="2"/>
      <c r="K21" s="2"/>
      <c r="L21" s="2"/>
      <c r="AR21" t="s">
        <v>213</v>
      </c>
      <c r="BA21" s="3" t="str">
        <f>IF(B21="","",CONCATENATE("(setq t14 ",$BA$6,B21,$BA$6,")"))</f>
        <v/>
      </c>
      <c r="BB21" s="3" t="str">
        <f>IF(C21="","",CONCATENATE("(setq t14_1 ",$BA$6,C21,$BA$6,")"))</f>
        <v/>
      </c>
      <c r="BC21" s="3" t="str">
        <f>IF(D21="","",CONCATENATE("(setq tt14 ",$BA$6,D21,$BA$6,")"))</f>
        <v/>
      </c>
      <c r="BD21" s="3" t="str">
        <f>IF(E21="","",CONCATENATE("(setq tt14_1 ",$BA$6,E21,$BA$6,")"))</f>
        <v/>
      </c>
      <c r="BE21" s="3" t="str">
        <f>IF(F21="","",CONCATENATE("(setq ttt14 ",$BA$6,F21,$BA$6,")"))</f>
        <v/>
      </c>
      <c r="BF21" s="3" t="str">
        <f>IF(G21="","",CONCATENATE("(setq ttt14_1 ",$BA$6,G21,$BA$6,")"))</f>
        <v/>
      </c>
      <c r="BG21" s="3" t="str">
        <f>IF(H21="","",CONCATENATE("(setq pnum14 ",H21,")"))</f>
        <v/>
      </c>
    </row>
    <row r="22" spans="1:59" ht="20.25" customHeight="1" x14ac:dyDescent="0.25">
      <c r="A22" s="6">
        <v>15</v>
      </c>
      <c r="B22" s="1"/>
      <c r="C22" s="1"/>
      <c r="D22" s="1"/>
      <c r="E22" s="1"/>
      <c r="F22" s="1"/>
      <c r="G22" s="1"/>
      <c r="H22" s="2"/>
      <c r="I22" s="7"/>
      <c r="J22" s="2"/>
      <c r="K22" s="2"/>
      <c r="L22" s="2"/>
      <c r="AR22" t="s">
        <v>213</v>
      </c>
      <c r="BA22" s="3" t="str">
        <f>IF(B22="","",CONCATENATE("(setq t15 ",$BA$6,B22,$BA$6,")"))</f>
        <v/>
      </c>
      <c r="BB22" s="3" t="str">
        <f>IF(C22="","",CONCATENATE("(setq t15_1 ",$BA$6,C22,$BA$6,")"))</f>
        <v/>
      </c>
      <c r="BC22" s="3" t="str">
        <f>IF(D22="","",CONCATENATE("(setq tt15 ",$BA$6,D22,$BA$6,")"))</f>
        <v/>
      </c>
      <c r="BD22" s="3" t="str">
        <f>IF(E22="","",CONCATENATE("(setq tt15_1 ",$BA$6,E22,$BA$6,")"))</f>
        <v/>
      </c>
      <c r="BE22" s="3" t="str">
        <f>IF(F22="","",CONCATENATE("(setq ttt15 ",$BA$6,F22,$BA$6,")"))</f>
        <v/>
      </c>
      <c r="BF22" s="3" t="str">
        <f>IF(G22="","",CONCATENATE("(setq ttt15_1 ",$BA$6,G22,$BA$6,")"))</f>
        <v/>
      </c>
      <c r="BG22" s="3" t="str">
        <f>IF(H22="","",CONCATENATE("(setq pnum15 ",H22,")"))</f>
        <v/>
      </c>
    </row>
    <row r="23" spans="1:59" ht="20.25" customHeight="1" x14ac:dyDescent="0.25">
      <c r="A23" s="6">
        <v>16</v>
      </c>
      <c r="B23" s="1"/>
      <c r="C23" s="1"/>
      <c r="D23" s="1"/>
      <c r="E23" s="1"/>
      <c r="F23" s="1"/>
      <c r="G23" s="1"/>
      <c r="H23" s="2"/>
      <c r="I23" s="7"/>
      <c r="J23" s="2"/>
      <c r="K23" s="2"/>
      <c r="L23" s="2"/>
      <c r="AR23" t="s">
        <v>213</v>
      </c>
      <c r="BA23" s="3" t="str">
        <f>IF(B23="","",CONCATENATE("(setq t16 ",$BA$6,B23,$BA$6,")"))</f>
        <v/>
      </c>
      <c r="BB23" s="3" t="str">
        <f>IF(C23="","",CONCATENATE("(setq t16_1 ",$BA$6,C23,$BA$6,")"))</f>
        <v/>
      </c>
      <c r="BC23" s="3" t="str">
        <f>IF(D23="","",CONCATENATE("(setq tt16 ",$BA$6,D23,$BA$6,")"))</f>
        <v/>
      </c>
      <c r="BD23" s="3" t="str">
        <f>IF(E23="","",CONCATENATE("(setq tt16_1 ",$BA$6,E23,$BA$6,")"))</f>
        <v/>
      </c>
      <c r="BE23" s="3" t="str">
        <f>IF(F23="","",CONCATENATE("(setq ttt16 ",$BA$6,F23,$BA$6,")"))</f>
        <v/>
      </c>
      <c r="BF23" s="3" t="str">
        <f>IF(G23="","",CONCATENATE("(setq ttt16_1 ",$BA$6,G23,$BA$6,")"))</f>
        <v/>
      </c>
      <c r="BG23" s="3" t="str">
        <f>IF(H23="","",CONCATENATE("(setq pnum16 ",H23,")"))</f>
        <v/>
      </c>
    </row>
    <row r="24" spans="1:59" ht="20.25" customHeight="1" x14ac:dyDescent="0.25">
      <c r="A24" s="6">
        <v>17</v>
      </c>
      <c r="B24" s="1"/>
      <c r="C24" s="1"/>
      <c r="D24" s="1"/>
      <c r="E24" s="1"/>
      <c r="F24" s="1"/>
      <c r="G24" s="1"/>
      <c r="H24" s="2"/>
      <c r="I24" s="7"/>
      <c r="J24" s="2"/>
      <c r="K24" s="2"/>
      <c r="L24" s="2"/>
      <c r="AR24" t="s">
        <v>213</v>
      </c>
      <c r="BA24" s="3" t="str">
        <f>IF(B24="","",CONCATENATE("(setq t17 ",$BA$6,B24,$BA$6,")"))</f>
        <v/>
      </c>
      <c r="BB24" s="3" t="str">
        <f>IF(C24="","",CONCATENATE("(setq t17_1 ",$BA$6,C24,$BA$6,")"))</f>
        <v/>
      </c>
      <c r="BC24" s="3" t="str">
        <f>IF(D24="","",CONCATENATE("(setq tt17 ",$BA$6,D24,$BA$6,")"))</f>
        <v/>
      </c>
      <c r="BD24" s="3" t="str">
        <f>IF(E24="","",CONCATENATE("(setq tt17_1 ",$BA$6,E24,$BA$6,")"))</f>
        <v/>
      </c>
      <c r="BE24" s="3" t="str">
        <f>IF(F24="","",CONCATENATE("(setq ttt17 ",$BA$6,F24,$BA$6,")"))</f>
        <v/>
      </c>
      <c r="BF24" s="3" t="str">
        <f>IF(G24="","",CONCATENATE("(setq ttt17_1 ",$BA$6,G24,$BA$6,")"))</f>
        <v/>
      </c>
      <c r="BG24" s="3" t="str">
        <f>IF(H24="","",CONCATENATE("(setq pnum17 ",H24,")"))</f>
        <v/>
      </c>
    </row>
    <row r="25" spans="1:59" ht="20.25" customHeight="1" x14ac:dyDescent="0.25">
      <c r="A25" s="6">
        <v>18</v>
      </c>
      <c r="B25" s="1"/>
      <c r="C25" s="1"/>
      <c r="D25" s="1"/>
      <c r="E25" s="1"/>
      <c r="F25" s="1"/>
      <c r="G25" s="1"/>
      <c r="H25" s="2"/>
      <c r="I25" s="7"/>
      <c r="J25" s="2"/>
      <c r="K25" s="2"/>
      <c r="L25" s="2"/>
      <c r="AR25" t="s">
        <v>213</v>
      </c>
      <c r="BA25" s="3" t="str">
        <f>IF(B25="","",CONCATENATE("(setq t18 ",$BA$6,B25,$BA$6,")"))</f>
        <v/>
      </c>
      <c r="BB25" s="3" t="str">
        <f>IF(C25="","",CONCATENATE("(setq t18_1 ",$BA$6,C25,$BA$6,")"))</f>
        <v/>
      </c>
      <c r="BC25" s="3" t="str">
        <f>IF(D25="","",CONCATENATE("(setq tt18 ",$BA$6,D25,$BA$6,")"))</f>
        <v/>
      </c>
      <c r="BD25" s="3" t="str">
        <f>IF(E25="","",CONCATENATE("(setq tt18_1 ",$BA$6,E25,$BA$6,")"))</f>
        <v/>
      </c>
      <c r="BE25" s="3" t="str">
        <f>IF(F25="","",CONCATENATE("(setq ttt18 ",$BA$6,F25,$BA$6,")"))</f>
        <v/>
      </c>
      <c r="BF25" s="3" t="str">
        <f>IF(G25="","",CONCATENATE("(setq ttt18_1 ",$BA$6,G25,$BA$6,")"))</f>
        <v/>
      </c>
      <c r="BG25" s="3" t="str">
        <f>IF(H25="","",CONCATENATE("(setq pnum18 ",H25,")"))</f>
        <v/>
      </c>
    </row>
    <row r="26" spans="1:59" ht="20.25" customHeight="1" x14ac:dyDescent="0.25">
      <c r="A26" s="6">
        <v>19</v>
      </c>
      <c r="B26" s="1"/>
      <c r="C26" s="1"/>
      <c r="D26" s="1"/>
      <c r="E26" s="1"/>
      <c r="F26" s="1"/>
      <c r="G26" s="1"/>
      <c r="H26" s="2"/>
      <c r="I26" s="7"/>
      <c r="J26" s="2"/>
      <c r="K26" s="2"/>
      <c r="L26" s="2"/>
      <c r="AR26" t="s">
        <v>213</v>
      </c>
      <c r="BA26" s="3" t="str">
        <f>IF(B26="","",CONCATENATE("(setq t19 ",$BA$6,B26,$BA$6,")"))</f>
        <v/>
      </c>
      <c r="BB26" s="3" t="str">
        <f>IF(C26="","",CONCATENATE("(setq t19_1 ",$BA$6,C26,$BA$6,")"))</f>
        <v/>
      </c>
      <c r="BC26" s="3" t="str">
        <f>IF(D26="","",CONCATENATE("(setq tt19 ",$BA$6,D26,$BA$6,")"))</f>
        <v/>
      </c>
      <c r="BD26" s="3" t="str">
        <f>IF(E26="","",CONCATENATE("(setq tt19_1 ",$BA$6,E26,$BA$6,")"))</f>
        <v/>
      </c>
      <c r="BE26" s="3" t="str">
        <f>IF(F26="","",CONCATENATE("(setq ttt19 ",$BA$6,F26,$BA$6,")"))</f>
        <v/>
      </c>
      <c r="BF26" s="3" t="str">
        <f>IF(G26="","",CONCATENATE("(setq ttt19_1 ",$BA$6,G26,$BA$6,")"))</f>
        <v/>
      </c>
      <c r="BG26" s="3" t="str">
        <f>IF(H26="","",CONCATENATE("(setq pnum19 ",H26,")"))</f>
        <v/>
      </c>
    </row>
    <row r="27" spans="1:59" ht="20.25" customHeight="1" x14ac:dyDescent="0.25">
      <c r="A27" s="6">
        <v>20</v>
      </c>
      <c r="B27" s="1"/>
      <c r="C27" s="1"/>
      <c r="D27" s="1"/>
      <c r="E27" s="1"/>
      <c r="F27" s="1"/>
      <c r="G27" s="1"/>
      <c r="H27" s="2"/>
      <c r="I27" s="7"/>
      <c r="J27" s="2"/>
      <c r="K27" s="2"/>
      <c r="L27" s="2"/>
      <c r="AR27" t="s">
        <v>213</v>
      </c>
      <c r="BA27" s="3" t="str">
        <f>IF(B27="","",CONCATENATE("(setq t20 ",$BA$6,B27,$BA$6,")"))</f>
        <v/>
      </c>
      <c r="BB27" s="3" t="str">
        <f>IF(C27="","",CONCATENATE("(setq t20_1 ",$BA$6,C27,$BA$6,")"))</f>
        <v/>
      </c>
      <c r="BC27" s="3" t="str">
        <f>IF(D27="","",CONCATENATE("(setq tt20 ",$BA$6,D27,$BA$6,")"))</f>
        <v/>
      </c>
      <c r="BD27" s="3" t="str">
        <f>IF(E27="","",CONCATENATE("(setq tt20_1 ",$BA$6,E27,$BA$6,")"))</f>
        <v/>
      </c>
      <c r="BE27" s="3" t="str">
        <f>IF(F27="","",CONCATENATE("(setq ttt20 ",$BA$6,F27,$BA$6,")"))</f>
        <v/>
      </c>
      <c r="BF27" s="3" t="str">
        <f>IF(G27="","",CONCATENATE("(setq ttt20_1 ",$BA$6,G27,$BA$6,")"))</f>
        <v/>
      </c>
      <c r="BG27" s="3" t="str">
        <f>IF(H27="","",CONCATENATE("(setq pnum20 ",H27,")"))</f>
        <v/>
      </c>
    </row>
    <row r="28" spans="1:59" ht="20.25" customHeight="1" x14ac:dyDescent="0.25">
      <c r="A28" s="6">
        <v>21</v>
      </c>
      <c r="B28" s="1"/>
      <c r="C28" s="1"/>
      <c r="D28" s="1"/>
      <c r="E28" s="1"/>
      <c r="F28" s="1"/>
      <c r="G28" s="1"/>
      <c r="H28" s="2"/>
      <c r="I28" s="7"/>
      <c r="J28" s="2"/>
      <c r="K28" s="2"/>
      <c r="L28" s="2"/>
      <c r="AR28" t="s">
        <v>213</v>
      </c>
      <c r="BA28" s="3" t="str">
        <f>IF(B28="","",CONCATENATE("(setq t21 ",$BA$6,B28,$BA$6,")"))</f>
        <v/>
      </c>
      <c r="BB28" s="3" t="str">
        <f>IF(C28="","",CONCATENATE("(setq t21_1 ",$BA$6,C28,$BA$6,")"))</f>
        <v/>
      </c>
      <c r="BC28" s="3" t="str">
        <f>IF(D28="","",CONCATENATE("(setq tt21 ",$BA$6,D28,$BA$6,")"))</f>
        <v/>
      </c>
      <c r="BD28" s="3" t="str">
        <f>IF(E28="","",CONCATENATE("(setq tt21_1 ",$BA$6,E28,$BA$6,")"))</f>
        <v/>
      </c>
      <c r="BE28" s="3" t="str">
        <f>IF(F28="","",CONCATENATE("(setq ttt21 ",$BA$6,F28,$BA$6,")"))</f>
        <v/>
      </c>
      <c r="BF28" s="3" t="str">
        <f>IF(G28="","",CONCATENATE("(setq ttt21_1 ",$BA$6,G28,$BA$6,")"))</f>
        <v/>
      </c>
      <c r="BG28" s="3" t="str">
        <f>IF(H28="","",CONCATENATE("(setq pnum21 ",H28,")"))</f>
        <v/>
      </c>
    </row>
    <row r="29" spans="1:59" ht="20.25" customHeight="1" x14ac:dyDescent="0.25">
      <c r="A29" s="6">
        <v>22</v>
      </c>
      <c r="B29" s="1"/>
      <c r="C29" s="1"/>
      <c r="D29" s="1"/>
      <c r="E29" s="1"/>
      <c r="F29" s="1"/>
      <c r="G29" s="1"/>
      <c r="H29" s="2"/>
      <c r="I29" s="7"/>
      <c r="J29" s="2"/>
      <c r="K29" s="2"/>
      <c r="L29" s="2"/>
      <c r="AR29" t="s">
        <v>213</v>
      </c>
      <c r="BA29" s="3" t="str">
        <f>IF(B29="","",CONCATENATE("(setq t22 ",$BA$6,B29,$BA$6,")"))</f>
        <v/>
      </c>
      <c r="BB29" s="3" t="str">
        <f>IF(C29="","",CONCATENATE("(setq t22_1 ",$BA$6,C29,$BA$6,")"))</f>
        <v/>
      </c>
      <c r="BC29" s="3" t="str">
        <f>IF(D29="","",CONCATENATE("(setq tt22 ",$BA$6,D29,$BA$6,")"))</f>
        <v/>
      </c>
      <c r="BD29" s="3" t="str">
        <f>IF(E29="","",CONCATENATE("(setq tt22_1 ",$BA$6,E29,$BA$6,")"))</f>
        <v/>
      </c>
      <c r="BE29" s="3" t="str">
        <f>IF(F29="","",CONCATENATE("(setq ttt22 ",$BA$6,F29,$BA$6,")"))</f>
        <v/>
      </c>
      <c r="BF29" s="3" t="str">
        <f>IF(G29="","",CONCATENATE("(setq ttt22_1 ",$BA$6,G29,$BA$6,")"))</f>
        <v/>
      </c>
      <c r="BG29" s="3" t="str">
        <f>IF(H29="","",CONCATENATE("(setq pnum22 ",H29,")"))</f>
        <v/>
      </c>
    </row>
    <row r="30" spans="1:59" ht="20.25" customHeight="1" x14ac:dyDescent="0.25">
      <c r="A30" s="6">
        <v>23</v>
      </c>
      <c r="B30" s="1"/>
      <c r="C30" s="1"/>
      <c r="D30" s="1"/>
      <c r="E30" s="1"/>
      <c r="F30" s="1"/>
      <c r="G30" s="1"/>
      <c r="H30" s="2"/>
      <c r="I30" s="7"/>
      <c r="J30" s="2"/>
      <c r="K30" s="2"/>
      <c r="L30" s="2"/>
      <c r="AR30" t="s">
        <v>213</v>
      </c>
      <c r="BA30" s="3" t="str">
        <f>IF(B30="","",CONCATENATE("(setq t23 ",$BA$6,B30,$BA$6,")"))</f>
        <v/>
      </c>
      <c r="BB30" s="3" t="str">
        <f>IF(C30="","",CONCATENATE("(setq t23_1 ",$BA$6,C30,$BA$6,")"))</f>
        <v/>
      </c>
      <c r="BC30" s="3" t="str">
        <f>IF(D30="","",CONCATENATE("(setq tt23 ",$BA$6,D30,$BA$6,")"))</f>
        <v/>
      </c>
      <c r="BD30" s="3" t="str">
        <f>IF(E30="","",CONCATENATE("(setq tt23_1 ",$BA$6,E30,$BA$6,")"))</f>
        <v/>
      </c>
      <c r="BE30" s="3" t="str">
        <f>IF(F30="","",CONCATENATE("(setq ttt23 ",$BA$6,F30,$BA$6,")"))</f>
        <v/>
      </c>
      <c r="BF30" s="3" t="str">
        <f>IF(G30="","",CONCATENATE("(setq ttt23_1 ",$BA$6,G30,$BA$6,")"))</f>
        <v/>
      </c>
      <c r="BG30" s="3" t="str">
        <f>IF(H30="","",CONCATENATE("(setq pnum23 ",H30,")"))</f>
        <v/>
      </c>
    </row>
    <row r="31" spans="1:59" ht="20.25" customHeight="1" x14ac:dyDescent="0.25">
      <c r="A31" s="6">
        <v>24</v>
      </c>
      <c r="B31" s="1"/>
      <c r="C31" s="1"/>
      <c r="D31" s="1"/>
      <c r="E31" s="1"/>
      <c r="F31" s="1"/>
      <c r="G31" s="1"/>
      <c r="H31" s="2"/>
      <c r="I31" s="7"/>
      <c r="J31" s="2"/>
      <c r="K31" s="2"/>
      <c r="L31" s="2"/>
      <c r="AR31" t="s">
        <v>213</v>
      </c>
      <c r="BA31" s="3" t="str">
        <f>IF(B31="","",CONCATENATE("(setq t24 ",$BA$6,B31,$BA$6,")"))</f>
        <v/>
      </c>
      <c r="BB31" s="3" t="str">
        <f>IF(C31="","",CONCATENATE("(setq t24_1 ",$BA$6,C31,$BA$6,")"))</f>
        <v/>
      </c>
      <c r="BC31" s="3" t="str">
        <f>IF(D31="","",CONCATENATE("(setq tt24 ",$BA$6,D31,$BA$6,")"))</f>
        <v/>
      </c>
      <c r="BD31" s="3" t="str">
        <f>IF(E31="","",CONCATENATE("(setq tt24_1 ",$BA$6,E31,$BA$6,")"))</f>
        <v/>
      </c>
      <c r="BE31" s="3" t="str">
        <f>IF(F31="","",CONCATENATE("(setq ttt24 ",$BA$6,F31,$BA$6,")"))</f>
        <v/>
      </c>
      <c r="BF31" s="3" t="str">
        <f>IF(G31="","",CONCATENATE("(setq ttt24_1 ",$BA$6,G31,$BA$6,")"))</f>
        <v/>
      </c>
      <c r="BG31" s="3" t="str">
        <f>IF(H31="","",CONCATENATE("(setq pnum24 ",H31,")"))</f>
        <v/>
      </c>
    </row>
    <row r="32" spans="1:59" ht="20.25" customHeight="1" x14ac:dyDescent="0.25">
      <c r="A32" s="6">
        <v>25</v>
      </c>
      <c r="B32" s="1"/>
      <c r="C32" s="1"/>
      <c r="D32" s="1"/>
      <c r="E32" s="1"/>
      <c r="F32" s="1"/>
      <c r="G32" s="1"/>
      <c r="H32" s="2"/>
      <c r="I32" s="7"/>
      <c r="J32" s="2"/>
      <c r="K32" s="2"/>
      <c r="L32" s="2"/>
      <c r="AR32" t="s">
        <v>213</v>
      </c>
      <c r="BA32" s="3" t="str">
        <f>IF(B32="","",CONCATENATE("(setq t25 ",$BA$6,B32,$BA$6,")"))</f>
        <v/>
      </c>
      <c r="BB32" s="3" t="str">
        <f>IF(C32="","",CONCATENATE("(setq t25_1 ",$BA$6,C32,$BA$6,")"))</f>
        <v/>
      </c>
      <c r="BC32" s="3" t="str">
        <f>IF(D32="","",CONCATENATE("(setq tt25 ",$BA$6,D32,$BA$6,")"))</f>
        <v/>
      </c>
      <c r="BD32" s="3" t="str">
        <f>IF(E32="","",CONCATENATE("(setq tt25_1 ",$BA$6,E32,$BA$6,")"))</f>
        <v/>
      </c>
      <c r="BE32" s="3" t="str">
        <f>IF(F32="","",CONCATENATE("(setq ttt25 ",$BA$6,F32,$BA$6,")"))</f>
        <v/>
      </c>
      <c r="BF32" s="3" t="str">
        <f>IF(G32="","",CONCATENATE("(setq ttt25_1 ",$BA$6,G32,$BA$6,")"))</f>
        <v/>
      </c>
      <c r="BG32" s="3" t="str">
        <f>IF(H32="","",CONCATENATE("(setq pnum25 ",H32,")"))</f>
        <v/>
      </c>
    </row>
    <row r="33" spans="1:59" ht="20.25" customHeight="1" x14ac:dyDescent="0.25">
      <c r="A33" s="6">
        <v>26</v>
      </c>
      <c r="B33" s="1"/>
      <c r="C33" s="1"/>
      <c r="D33" s="1"/>
      <c r="E33" s="1"/>
      <c r="F33" s="1"/>
      <c r="G33" s="1"/>
      <c r="H33" s="2"/>
      <c r="I33" s="7"/>
      <c r="J33" s="2"/>
      <c r="K33" s="2"/>
      <c r="L33" s="2"/>
      <c r="AR33" t="s">
        <v>213</v>
      </c>
      <c r="BA33" s="3" t="str">
        <f>IF(B33="","",CONCATENATE("(setq t26 ",$BA$6,B33,$BA$6,")"))</f>
        <v/>
      </c>
      <c r="BB33" s="3" t="str">
        <f>IF(C33="","",CONCATENATE("(setq t26_1 ",$BA$6,C33,$BA$6,")"))</f>
        <v/>
      </c>
      <c r="BC33" s="3" t="str">
        <f>IF(D33="","",CONCATENATE("(setq tt26 ",$BA$6,D33,$BA$6,")"))</f>
        <v/>
      </c>
      <c r="BD33" s="3" t="str">
        <f>IF(E33="","",CONCATENATE("(setq tt26_1 ",$BA$6,E33,$BA$6,")"))</f>
        <v/>
      </c>
      <c r="BE33" s="3" t="str">
        <f>IF(F33="","",CONCATENATE("(setq ttt26 ",$BA$6,F33,$BA$6,")"))</f>
        <v/>
      </c>
      <c r="BF33" s="3" t="str">
        <f>IF(G33="","",CONCATENATE("(setq ttt26_1 ",$BA$6,G33,$BA$6,")"))</f>
        <v/>
      </c>
      <c r="BG33" s="3" t="str">
        <f>IF(H33="","",CONCATENATE("(setq pnum26 ",H33,")"))</f>
        <v/>
      </c>
    </row>
    <row r="34" spans="1:59" ht="20.25" customHeight="1" x14ac:dyDescent="0.25">
      <c r="A34" s="6">
        <v>27</v>
      </c>
      <c r="B34" s="1"/>
      <c r="C34" s="1"/>
      <c r="D34" s="1"/>
      <c r="E34" s="1"/>
      <c r="F34" s="1"/>
      <c r="G34" s="1"/>
      <c r="H34" s="2"/>
      <c r="I34" s="7"/>
      <c r="J34" s="2"/>
      <c r="K34" s="2"/>
      <c r="L34" s="2"/>
      <c r="AR34" t="s">
        <v>213</v>
      </c>
      <c r="BA34" s="3" t="str">
        <f>IF(B34="","",CONCATENATE("(setq t27 ",$BA$6,B34,$BA$6,")"))</f>
        <v/>
      </c>
      <c r="BB34" s="3" t="str">
        <f>IF(C34="","",CONCATENATE("(setq t27_1 ",$BA$6,C34,$BA$6,")"))</f>
        <v/>
      </c>
      <c r="BC34" s="3" t="str">
        <f>IF(D34="","",CONCATENATE("(setq tt27 ",$BA$6,D34,$BA$6,")"))</f>
        <v/>
      </c>
      <c r="BD34" s="3" t="str">
        <f>IF(E34="","",CONCATENATE("(setq tt27_1 ",$BA$6,E34,$BA$6,")"))</f>
        <v/>
      </c>
      <c r="BE34" s="3" t="str">
        <f>IF(F34="","",CONCATENATE("(setq ttt27 ",$BA$6,F34,$BA$6,")"))</f>
        <v/>
      </c>
      <c r="BF34" s="3" t="str">
        <f>IF(G34="","",CONCATENATE("(setq ttt27_1 ",$BA$6,G34,$BA$6,")"))</f>
        <v/>
      </c>
      <c r="BG34" s="3" t="str">
        <f>IF(H34="","",CONCATENATE("(setq pnum27 ",H34,")"))</f>
        <v/>
      </c>
    </row>
    <row r="35" spans="1:59" ht="20.25" customHeight="1" x14ac:dyDescent="0.25">
      <c r="A35" s="6">
        <v>28</v>
      </c>
      <c r="B35" s="1"/>
      <c r="C35" s="1"/>
      <c r="D35" s="1"/>
      <c r="E35" s="1"/>
      <c r="F35" s="1"/>
      <c r="G35" s="1"/>
      <c r="H35" s="2"/>
      <c r="I35" s="7"/>
      <c r="J35" s="2"/>
      <c r="K35" s="2"/>
      <c r="L35" s="2"/>
      <c r="AR35" t="s">
        <v>213</v>
      </c>
      <c r="BA35" s="3" t="str">
        <f>IF(B35="","",CONCATENATE("(setq t28 ",$BA$6,B35,$BA$6,")"))</f>
        <v/>
      </c>
      <c r="BB35" s="3" t="str">
        <f>IF(C35="","",CONCATENATE("(setq t28_1 ",$BA$6,C35,$BA$6,")"))</f>
        <v/>
      </c>
      <c r="BC35" s="3" t="str">
        <f>IF(D35="","",CONCATENATE("(setq tt28 ",$BA$6,D35,$BA$6,")"))</f>
        <v/>
      </c>
      <c r="BD35" s="3" t="str">
        <f>IF(E35="","",CONCATENATE("(setq tt28_1 ",$BA$6,E35,$BA$6,")"))</f>
        <v/>
      </c>
      <c r="BE35" s="3" t="str">
        <f>IF(F35="","",CONCATENATE("(setq ttt28 ",$BA$6,F35,$BA$6,")"))</f>
        <v/>
      </c>
      <c r="BF35" s="3" t="str">
        <f>IF(G35="","",CONCATENATE("(setq ttt28_1 ",$BA$6,G35,$BA$6,")"))</f>
        <v/>
      </c>
      <c r="BG35" s="3" t="str">
        <f>IF(H35="","",CONCATENATE("(setq pnum28 ",H35,")"))</f>
        <v/>
      </c>
    </row>
    <row r="36" spans="1:59" ht="20.25" customHeight="1" x14ac:dyDescent="0.25">
      <c r="A36" s="6">
        <v>29</v>
      </c>
      <c r="B36" s="1"/>
      <c r="C36" s="1"/>
      <c r="D36" s="1"/>
      <c r="E36" s="1"/>
      <c r="F36" s="1"/>
      <c r="G36" s="1"/>
      <c r="H36" s="2"/>
      <c r="I36" s="7"/>
      <c r="J36" s="2"/>
      <c r="K36" s="2"/>
      <c r="L36" s="2"/>
      <c r="AR36" t="s">
        <v>213</v>
      </c>
      <c r="BA36" s="3" t="str">
        <f>IF(B36="","",CONCATENATE("(setq t29 ",$BA$6,B36,$BA$6,")"))</f>
        <v/>
      </c>
      <c r="BB36" s="3" t="str">
        <f>IF(C36="","",CONCATENATE("(setq t29_1 ",$BA$6,C36,$BA$6,")"))</f>
        <v/>
      </c>
      <c r="BC36" s="3" t="str">
        <f>IF(D36="","",CONCATENATE("(setq tt29 ",$BA$6,D36,$BA$6,")"))</f>
        <v/>
      </c>
      <c r="BD36" s="3" t="str">
        <f>IF(E36="","",CONCATENATE("(setq tt29_1 ",$BA$6,E36,$BA$6,")"))</f>
        <v/>
      </c>
      <c r="BE36" s="3" t="str">
        <f>IF(F36="","",CONCATENATE("(setq ttt29 ",$BA$6,F36,$BA$6,")"))</f>
        <v/>
      </c>
      <c r="BF36" s="3" t="str">
        <f>IF(G36="","",CONCATENATE("(setq ttt29_1 ",$BA$6,G36,$BA$6,")"))</f>
        <v/>
      </c>
      <c r="BG36" s="3" t="str">
        <f>IF(H36="","",CONCATENATE("(setq pnum29 ",H36,")"))</f>
        <v/>
      </c>
    </row>
    <row r="37" spans="1:59" ht="20.25" customHeight="1" x14ac:dyDescent="0.25">
      <c r="A37" s="6">
        <v>30</v>
      </c>
      <c r="B37" s="1"/>
      <c r="C37" s="1"/>
      <c r="D37" s="1"/>
      <c r="E37" s="1"/>
      <c r="F37" s="1"/>
      <c r="G37" s="1"/>
      <c r="H37" s="2"/>
      <c r="I37" s="7"/>
      <c r="J37" s="2"/>
      <c r="K37" s="2"/>
      <c r="L37" s="2"/>
      <c r="BA37" s="3" t="str">
        <f>IF(B37="","",CONCATENATE("(setq t30 ",$BA$6,B37,$BA$6,")"))</f>
        <v/>
      </c>
      <c r="BB37" s="3" t="str">
        <f>IF(C37="","",CONCATENATE("(setq t30_1 ",$BA$6,C37,$BA$6,")"))</f>
        <v/>
      </c>
      <c r="BC37" s="3" t="str">
        <f>IF(D37="","",CONCATENATE("(setq tt30 ",$BA$6,D37,$BA$6,")"))</f>
        <v/>
      </c>
      <c r="BD37" s="3" t="str">
        <f>IF(E37="","",CONCATENATE("(setq tt30_1 ",$BA$6,E37,$BA$6,")"))</f>
        <v/>
      </c>
      <c r="BE37" s="3" t="str">
        <f>IF(F37="","",CONCATENATE("(setq ttt30 ",$BA$6,F37,$BA$6,")"))</f>
        <v/>
      </c>
      <c r="BF37" s="3" t="str">
        <f>IF(G37="","",CONCATENATE("(setq ttt30_1 ",$BA$6,G37,$BA$6,")"))</f>
        <v/>
      </c>
      <c r="BG37" s="3" t="str">
        <f>IF(H37="","",CONCATENATE("(setq pnum30 ",H37,")"))</f>
        <v/>
      </c>
    </row>
    <row r="38" spans="1:59" ht="20.25" customHeight="1" x14ac:dyDescent="0.25">
      <c r="AW38" s="3"/>
      <c r="AX38" s="3"/>
      <c r="AY38" s="3"/>
      <c r="AZ38" s="3"/>
      <c r="BB38" s="3"/>
      <c r="BC38" s="3"/>
      <c r="BD38" s="3"/>
      <c r="BE38" s="3"/>
      <c r="BF38" s="3"/>
      <c r="BG38" s="3"/>
    </row>
    <row r="39" spans="1:59" x14ac:dyDescent="0.25">
      <c r="BA39" t="s">
        <v>162</v>
      </c>
    </row>
    <row r="40" spans="1:59" x14ac:dyDescent="0.25">
      <c r="BA40" t="s">
        <v>163</v>
      </c>
    </row>
    <row r="41" spans="1:59" x14ac:dyDescent="0.25">
      <c r="BA41" t="s">
        <v>164</v>
      </c>
    </row>
    <row r="42" spans="1:59" x14ac:dyDescent="0.25">
      <c r="BA42" t="s">
        <v>165</v>
      </c>
    </row>
    <row r="43" spans="1:59" x14ac:dyDescent="0.25">
      <c r="BA43" t="s">
        <v>166</v>
      </c>
    </row>
    <row r="44" spans="1:59" x14ac:dyDescent="0.25">
      <c r="BA44" t="s">
        <v>167</v>
      </c>
    </row>
    <row r="45" spans="1:59" x14ac:dyDescent="0.25">
      <c r="BA45" t="s">
        <v>168</v>
      </c>
    </row>
    <row r="46" spans="1:59" x14ac:dyDescent="0.25">
      <c r="BA46" t="s">
        <v>169</v>
      </c>
    </row>
    <row r="47" spans="1:59" x14ac:dyDescent="0.25">
      <c r="BA47" t="s">
        <v>170</v>
      </c>
    </row>
    <row r="48" spans="1:59" x14ac:dyDescent="0.25">
      <c r="BA48" t="s">
        <v>171</v>
      </c>
    </row>
    <row r="49" spans="53:53" x14ac:dyDescent="0.25">
      <c r="BA49" t="s">
        <v>284</v>
      </c>
    </row>
    <row r="50" spans="53:53" x14ac:dyDescent="0.25">
      <c r="BA50" t="s">
        <v>285</v>
      </c>
    </row>
    <row r="51" spans="53:53" x14ac:dyDescent="0.25">
      <c r="BA51" t="s">
        <v>286</v>
      </c>
    </row>
    <row r="52" spans="53:53" x14ac:dyDescent="0.25">
      <c r="BA52" t="s">
        <v>287</v>
      </c>
    </row>
    <row r="53" spans="53:53" x14ac:dyDescent="0.25">
      <c r="BA53" t="s">
        <v>288</v>
      </c>
    </row>
    <row r="54" spans="53:53" x14ac:dyDescent="0.25">
      <c r="BA54" t="s">
        <v>289</v>
      </c>
    </row>
    <row r="55" spans="53:53" x14ac:dyDescent="0.25">
      <c r="BA55" t="s">
        <v>290</v>
      </c>
    </row>
    <row r="56" spans="53:53" x14ac:dyDescent="0.25">
      <c r="BA56" t="s">
        <v>291</v>
      </c>
    </row>
    <row r="57" spans="53:53" x14ac:dyDescent="0.25">
      <c r="BA57" t="s">
        <v>292</v>
      </c>
    </row>
    <row r="58" spans="53:53" x14ac:dyDescent="0.25">
      <c r="BA58" t="s">
        <v>293</v>
      </c>
    </row>
    <row r="59" spans="53:53" x14ac:dyDescent="0.25">
      <c r="BA59" t="s">
        <v>294</v>
      </c>
    </row>
    <row r="60" spans="53:53" x14ac:dyDescent="0.25">
      <c r="BA60" t="s">
        <v>295</v>
      </c>
    </row>
    <row r="61" spans="53:53" x14ac:dyDescent="0.25">
      <c r="BA61" t="s">
        <v>296</v>
      </c>
    </row>
    <row r="62" spans="53:53" x14ac:dyDescent="0.25">
      <c r="BA62" t="s">
        <v>297</v>
      </c>
    </row>
    <row r="63" spans="53:53" x14ac:dyDescent="0.25">
      <c r="BA63" t="s">
        <v>298</v>
      </c>
    </row>
    <row r="64" spans="53:53" x14ac:dyDescent="0.25">
      <c r="BA64" t="s">
        <v>299</v>
      </c>
    </row>
    <row r="65" spans="1:53" x14ac:dyDescent="0.25">
      <c r="BA65" t="s">
        <v>300</v>
      </c>
    </row>
    <row r="66" spans="1:53" x14ac:dyDescent="0.25">
      <c r="BA66" t="s">
        <v>301</v>
      </c>
    </row>
    <row r="67" spans="1:53" x14ac:dyDescent="0.25">
      <c r="BA67" t="s">
        <v>302</v>
      </c>
    </row>
    <row r="68" spans="1:53" x14ac:dyDescent="0.25">
      <c r="BA68" t="s">
        <v>303</v>
      </c>
    </row>
    <row r="69" spans="1:53" x14ac:dyDescent="0.25">
      <c r="BA69" t="s">
        <v>304</v>
      </c>
    </row>
    <row r="70" spans="1:53" x14ac:dyDescent="0.25">
      <c r="BA70" t="s">
        <v>305</v>
      </c>
    </row>
    <row r="71" spans="1:53" x14ac:dyDescent="0.25">
      <c r="BA71" t="s">
        <v>306</v>
      </c>
    </row>
    <row r="72" spans="1:53" x14ac:dyDescent="0.25">
      <c r="BA72" t="s">
        <v>307</v>
      </c>
    </row>
    <row r="73" spans="1:53" x14ac:dyDescent="0.25">
      <c r="BA73" t="s">
        <v>291</v>
      </c>
    </row>
    <row r="74" spans="1:53" x14ac:dyDescent="0.25">
      <c r="BA74" t="s">
        <v>308</v>
      </c>
    </row>
    <row r="75" spans="1:53" x14ac:dyDescent="0.25">
      <c r="BA75" t="s">
        <v>309</v>
      </c>
    </row>
    <row r="76" spans="1:53" x14ac:dyDescent="0.25">
      <c r="BA76" t="s">
        <v>172</v>
      </c>
    </row>
    <row r="77" spans="1:53" x14ac:dyDescent="0.25">
      <c r="BA77" t="s">
        <v>310</v>
      </c>
    </row>
    <row r="78" spans="1:53" x14ac:dyDescent="0.25">
      <c r="BA78" t="s">
        <v>311</v>
      </c>
    </row>
    <row r="79" spans="1:53" x14ac:dyDescent="0.25">
      <c r="A79" s="27" t="s">
        <v>58</v>
      </c>
      <c r="B79" s="27"/>
      <c r="C79" s="27"/>
      <c r="D79" s="20" t="s">
        <v>22</v>
      </c>
      <c r="E79" s="20">
        <f>G3</f>
        <v>1500</v>
      </c>
      <c r="BA79" t="s">
        <v>312</v>
      </c>
    </row>
    <row r="80" spans="1:53" x14ac:dyDescent="0.25">
      <c r="A80" s="27"/>
      <c r="B80" s="27"/>
      <c r="C80" s="27"/>
      <c r="D80" s="20" t="s">
        <v>23</v>
      </c>
      <c r="E80" s="20">
        <f>C3</f>
        <v>9000</v>
      </c>
      <c r="BA80" t="s">
        <v>313</v>
      </c>
    </row>
    <row r="81" spans="1:53" x14ac:dyDescent="0.25">
      <c r="A81" s="27"/>
      <c r="B81" s="27"/>
      <c r="C81" s="27"/>
      <c r="D81" s="20" t="s">
        <v>1</v>
      </c>
      <c r="E81" s="20">
        <f>I3</f>
        <v>5</v>
      </c>
      <c r="BA81" t="s">
        <v>314</v>
      </c>
    </row>
    <row r="82" spans="1:53" x14ac:dyDescent="0.25">
      <c r="A82" s="19"/>
      <c r="B82" s="19"/>
      <c r="C82" s="19"/>
      <c r="BA82" t="s">
        <v>315</v>
      </c>
    </row>
    <row r="83" spans="1:53" x14ac:dyDescent="0.25">
      <c r="A83" s="27" t="s">
        <v>59</v>
      </c>
      <c r="B83" s="27"/>
      <c r="C83" s="27"/>
      <c r="D83" s="20" t="s">
        <v>22</v>
      </c>
      <c r="E83" s="20">
        <f>G4</f>
        <v>1500</v>
      </c>
      <c r="BA83" t="s">
        <v>316</v>
      </c>
    </row>
    <row r="84" spans="1:53" x14ac:dyDescent="0.25">
      <c r="A84" s="27"/>
      <c r="B84" s="27"/>
      <c r="C84" s="27"/>
      <c r="D84" s="20" t="s">
        <v>23</v>
      </c>
      <c r="E84" s="20">
        <f>E4</f>
        <v>9000</v>
      </c>
      <c r="BA84" t="s">
        <v>317</v>
      </c>
    </row>
    <row r="85" spans="1:53" x14ac:dyDescent="0.25">
      <c r="A85" s="27"/>
      <c r="B85" s="27"/>
      <c r="C85" s="27"/>
      <c r="D85" s="20" t="s">
        <v>1</v>
      </c>
      <c r="E85" s="20">
        <f>I4</f>
        <v>6</v>
      </c>
      <c r="BA85" t="s">
        <v>318</v>
      </c>
    </row>
    <row r="86" spans="1:53" x14ac:dyDescent="0.25">
      <c r="A86" s="19"/>
      <c r="B86" s="19"/>
      <c r="C86" s="19"/>
      <c r="BA86" t="s">
        <v>173</v>
      </c>
    </row>
    <row r="87" spans="1:53" x14ac:dyDescent="0.25">
      <c r="A87" s="27" t="s">
        <v>60</v>
      </c>
      <c r="B87" s="27"/>
      <c r="C87" s="27"/>
      <c r="D87" s="20" t="s">
        <v>22</v>
      </c>
      <c r="E87" s="20">
        <f>G5</f>
        <v>0</v>
      </c>
      <c r="BA87" t="s">
        <v>319</v>
      </c>
    </row>
    <row r="88" spans="1:53" x14ac:dyDescent="0.25">
      <c r="A88" s="27"/>
      <c r="B88" s="27"/>
      <c r="C88" s="27"/>
      <c r="D88" s="20" t="s">
        <v>23</v>
      </c>
      <c r="E88" s="20">
        <f>E5</f>
        <v>0</v>
      </c>
      <c r="BA88" t="s">
        <v>313</v>
      </c>
    </row>
    <row r="89" spans="1:53" x14ac:dyDescent="0.25">
      <c r="A89" s="27"/>
      <c r="B89" s="27"/>
      <c r="C89" s="27"/>
      <c r="D89" s="20" t="s">
        <v>1</v>
      </c>
      <c r="E89" s="20">
        <f>I5</f>
        <v>0</v>
      </c>
      <c r="BA89" t="s">
        <v>320</v>
      </c>
    </row>
    <row r="90" spans="1:53" x14ac:dyDescent="0.25">
      <c r="BA90" t="s">
        <v>321</v>
      </c>
    </row>
    <row r="91" spans="1:53" x14ac:dyDescent="0.25">
      <c r="BA91" t="s">
        <v>322</v>
      </c>
    </row>
    <row r="92" spans="1:53" x14ac:dyDescent="0.25">
      <c r="BA92" t="s">
        <v>323</v>
      </c>
    </row>
    <row r="93" spans="1:53" x14ac:dyDescent="0.25">
      <c r="BA93" t="s">
        <v>324</v>
      </c>
    </row>
    <row r="94" spans="1:53" x14ac:dyDescent="0.25">
      <c r="BA94" t="s">
        <v>325</v>
      </c>
    </row>
    <row r="95" spans="1:53" x14ac:dyDescent="0.25">
      <c r="BA95" t="s">
        <v>326</v>
      </c>
    </row>
    <row r="96" spans="1:53" x14ac:dyDescent="0.25">
      <c r="BA96" t="s">
        <v>327</v>
      </c>
    </row>
    <row r="97" spans="1:53" x14ac:dyDescent="0.25">
      <c r="AP97" s="25" t="s">
        <v>811</v>
      </c>
      <c r="AR97" t="str">
        <f>CONCATENATE($BA$6,"C:\Program Files (x86)\ZWCAD+ 2014\ZWCAD.exe",$BA$6,"  /b  ",$BA$6,$C$2,"\",$I$2,".SCR",$BA$6,)</f>
        <v>"C:\Program Files (x86)\ZWCAD+ 2014\ZWCAD.exe"  /b  "C:\Users\ktvr\Desktop\SLD\SLD_TEST.SCR"</v>
      </c>
      <c r="BA97" t="s">
        <v>328</v>
      </c>
    </row>
    <row r="98" spans="1:53" x14ac:dyDescent="0.25">
      <c r="AG98" t="s">
        <v>810</v>
      </c>
      <c r="AP98" s="25" t="str">
        <f>CONCATENATE("(load ",$BA$6,$BA$4,"\\",$I$2,".lsp",$BA$6,")")</f>
        <v>(load "C:\\Users\\ktvr\\Desktop\\SLD\\SLD_TEST.lsp")</v>
      </c>
      <c r="AQ98" t="s">
        <v>202</v>
      </c>
      <c r="AR98" t="str">
        <f>CONCATENATE("DEL ",$I$2,".LSP")</f>
        <v>DEL SLD_TEST.LSP</v>
      </c>
      <c r="BA98" t="s">
        <v>329</v>
      </c>
    </row>
    <row r="99" spans="1:53" x14ac:dyDescent="0.25">
      <c r="AP99" s="19" t="s">
        <v>155</v>
      </c>
      <c r="AQ99" t="s">
        <v>203</v>
      </c>
      <c r="AR99" t="str">
        <f>CONCATENATE("DEL ",$I$2,".SCR")</f>
        <v>DEL SLD_TEST.SCR</v>
      </c>
      <c r="BA99" t="s">
        <v>330</v>
      </c>
    </row>
    <row r="100" spans="1:53" x14ac:dyDescent="0.25">
      <c r="AP100">
        <v>1500</v>
      </c>
      <c r="AQ100" t="s">
        <v>204</v>
      </c>
      <c r="AR100" t="str">
        <f>CONCATENATE("DEL ",$I$2,".BAT")</f>
        <v>DEL SLD_TEST.BAT</v>
      </c>
      <c r="BA100" t="s">
        <v>174</v>
      </c>
    </row>
    <row r="101" spans="1:53" s="18" customFormat="1" ht="30" customHeight="1" x14ac:dyDescent="0.25">
      <c r="A101" s="26" t="s">
        <v>56</v>
      </c>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c r="AF101"/>
      <c r="AG101"/>
      <c r="AH101"/>
      <c r="AI101"/>
      <c r="AJ101"/>
      <c r="AK101"/>
      <c r="AL101"/>
      <c r="AM101"/>
      <c r="AN101"/>
      <c r="AO101"/>
      <c r="AP101">
        <v>9000</v>
      </c>
      <c r="AQ101" t="s">
        <v>205</v>
      </c>
      <c r="AR101"/>
      <c r="AS101"/>
      <c r="AT101"/>
      <c r="BA101" t="s">
        <v>331</v>
      </c>
    </row>
    <row r="102" spans="1:53" s="18" customFormat="1" ht="39" customHeight="1" x14ac:dyDescent="0.25">
      <c r="A102" s="5" t="s">
        <v>26</v>
      </c>
      <c r="B102" s="5" t="s">
        <v>27</v>
      </c>
      <c r="C102" s="5" t="s">
        <v>28</v>
      </c>
      <c r="D102" s="5" t="s">
        <v>29</v>
      </c>
      <c r="E102" s="5" t="s">
        <v>30</v>
      </c>
      <c r="F102" s="5" t="s">
        <v>31</v>
      </c>
      <c r="G102" s="5" t="s">
        <v>32</v>
      </c>
      <c r="H102" s="5" t="s">
        <v>33</v>
      </c>
      <c r="I102" s="5" t="s">
        <v>34</v>
      </c>
      <c r="J102" s="5" t="s">
        <v>35</v>
      </c>
      <c r="K102" s="5" t="s">
        <v>36</v>
      </c>
      <c r="L102" s="5" t="s">
        <v>37</v>
      </c>
      <c r="M102" s="5" t="s">
        <v>38</v>
      </c>
      <c r="N102" s="5" t="s">
        <v>39</v>
      </c>
      <c r="O102" s="5" t="s">
        <v>40</v>
      </c>
      <c r="P102" s="5" t="s">
        <v>41</v>
      </c>
      <c r="Q102" s="5" t="s">
        <v>42</v>
      </c>
      <c r="R102" s="5" t="s">
        <v>43</v>
      </c>
      <c r="S102" s="5" t="s">
        <v>44</v>
      </c>
      <c r="T102" s="5" t="s">
        <v>45</v>
      </c>
      <c r="U102" s="5" t="s">
        <v>46</v>
      </c>
      <c r="V102" s="5" t="s">
        <v>47</v>
      </c>
      <c r="W102" s="5" t="s">
        <v>48</v>
      </c>
      <c r="X102" s="5" t="s">
        <v>49</v>
      </c>
      <c r="Y102" s="5" t="s">
        <v>50</v>
      </c>
      <c r="Z102" s="5" t="s">
        <v>51</v>
      </c>
      <c r="AA102" s="5" t="s">
        <v>52</v>
      </c>
      <c r="AB102" s="5" t="s">
        <v>53</v>
      </c>
      <c r="AC102" s="5" t="s">
        <v>54</v>
      </c>
      <c r="AD102" s="5" t="s">
        <v>55</v>
      </c>
      <c r="AE102"/>
      <c r="AF102"/>
      <c r="AG102"/>
      <c r="AH102"/>
      <c r="AI102"/>
      <c r="AJ102"/>
      <c r="AK102"/>
      <c r="AL102"/>
      <c r="AM102"/>
      <c r="AN102"/>
      <c r="AO102"/>
      <c r="AP102">
        <v>5</v>
      </c>
      <c r="AQ102" t="s">
        <v>206</v>
      </c>
      <c r="AR102"/>
      <c r="AS102"/>
      <c r="AT102"/>
      <c r="BA102" t="s">
        <v>291</v>
      </c>
    </row>
    <row r="103" spans="1:53" s="19" customFormat="1" x14ac:dyDescent="0.25">
      <c r="A103" s="19">
        <f>$H$8</f>
        <v>3000</v>
      </c>
      <c r="B103" s="19">
        <f>H9</f>
        <v>1500</v>
      </c>
      <c r="C103" s="19">
        <f>H10</f>
        <v>1500</v>
      </c>
      <c r="D103" s="19">
        <f>H11</f>
        <v>1500</v>
      </c>
      <c r="E103" s="19">
        <f>H12</f>
        <v>1500</v>
      </c>
      <c r="F103" s="19">
        <f>H13</f>
        <v>1500</v>
      </c>
      <c r="G103" s="19">
        <f>H14</f>
        <v>1500</v>
      </c>
      <c r="H103" s="19">
        <f>H15</f>
        <v>1500</v>
      </c>
      <c r="I103" s="19">
        <f>H16</f>
        <v>1500</v>
      </c>
      <c r="J103" s="19">
        <f>H17</f>
        <v>1500</v>
      </c>
      <c r="K103" s="19">
        <f>H18</f>
        <v>1500</v>
      </c>
      <c r="L103" s="19">
        <f>H19</f>
        <v>0</v>
      </c>
      <c r="M103" s="19">
        <f>H20</f>
        <v>0</v>
      </c>
      <c r="N103" s="19">
        <f>H21</f>
        <v>0</v>
      </c>
      <c r="O103" s="19">
        <f>H22</f>
        <v>0</v>
      </c>
      <c r="P103" s="19">
        <f>H23</f>
        <v>0</v>
      </c>
      <c r="Q103" s="19">
        <f>H24</f>
        <v>0</v>
      </c>
      <c r="R103" s="19">
        <f>H25</f>
        <v>0</v>
      </c>
      <c r="S103" s="19">
        <f>H26</f>
        <v>0</v>
      </c>
      <c r="T103" s="19">
        <f>H27</f>
        <v>0</v>
      </c>
      <c r="U103" s="19">
        <f>H28</f>
        <v>0</v>
      </c>
      <c r="V103" s="19">
        <f>H29</f>
        <v>0</v>
      </c>
      <c r="W103" s="19">
        <f>H30</f>
        <v>0</v>
      </c>
      <c r="X103" s="19">
        <f>H31</f>
        <v>0</v>
      </c>
      <c r="Y103" s="19">
        <f>H32</f>
        <v>0</v>
      </c>
      <c r="Z103" s="19">
        <f>H33</f>
        <v>0</v>
      </c>
      <c r="AA103" s="19">
        <f>H34</f>
        <v>0</v>
      </c>
      <c r="AB103" s="19">
        <f>H35</f>
        <v>0</v>
      </c>
      <c r="AC103" s="19">
        <f>H36</f>
        <v>0</v>
      </c>
      <c r="AD103" s="19">
        <f>H37</f>
        <v>0</v>
      </c>
      <c r="AP103">
        <v>3000</v>
      </c>
      <c r="AQ103" t="s">
        <v>207</v>
      </c>
      <c r="BA103" t="s">
        <v>332</v>
      </c>
    </row>
    <row r="104" spans="1:53" s="19" customFormat="1" x14ac:dyDescent="0.25">
      <c r="A104" s="19" t="str">
        <f>$I$8</f>
        <v>X</v>
      </c>
      <c r="B104" s="19" t="str">
        <f>$I$9</f>
        <v>X</v>
      </c>
      <c r="C104" s="19" t="str">
        <f>$I$10</f>
        <v>X</v>
      </c>
      <c r="D104" s="19" t="str">
        <f>$I$11</f>
        <v>X</v>
      </c>
      <c r="E104" s="19" t="str">
        <f>$I$12</f>
        <v>X</v>
      </c>
      <c r="F104" s="19" t="str">
        <f>$I$13</f>
        <v>X</v>
      </c>
      <c r="G104" s="19" t="str">
        <f>$I$14</f>
        <v>X</v>
      </c>
      <c r="H104" s="19" t="str">
        <f>$I$15</f>
        <v>X</v>
      </c>
      <c r="I104" s="19" t="str">
        <f>$I$16</f>
        <v>X</v>
      </c>
      <c r="J104" s="19" t="str">
        <f>$I$17</f>
        <v>X</v>
      </c>
      <c r="K104" s="19" t="str">
        <f>$I$18</f>
        <v>X</v>
      </c>
      <c r="L104" s="19">
        <f>$I$19</f>
        <v>0</v>
      </c>
      <c r="M104" s="19">
        <f>$I$20</f>
        <v>0</v>
      </c>
      <c r="N104" s="19">
        <f>$I$21</f>
        <v>0</v>
      </c>
      <c r="O104" s="19">
        <f>$I$22</f>
        <v>0</v>
      </c>
      <c r="P104" s="19">
        <f>$I$23</f>
        <v>0</v>
      </c>
      <c r="Q104" s="19">
        <f>$I$24</f>
        <v>0</v>
      </c>
      <c r="R104" s="19">
        <f>$I$25</f>
        <v>0</v>
      </c>
      <c r="S104" s="19">
        <f>$I$26</f>
        <v>0</v>
      </c>
      <c r="T104" s="19">
        <f>$I$27</f>
        <v>0</v>
      </c>
      <c r="U104" s="19">
        <f>$I$28</f>
        <v>0</v>
      </c>
      <c r="V104" s="19">
        <f>$I$29</f>
        <v>0</v>
      </c>
      <c r="W104" s="19">
        <f>$I$30</f>
        <v>0</v>
      </c>
      <c r="X104" s="19">
        <f>$I$31</f>
        <v>0</v>
      </c>
      <c r="Y104" s="19">
        <f>$I$32</f>
        <v>0</v>
      </c>
      <c r="Z104" s="19">
        <f>$I$33</f>
        <v>0</v>
      </c>
      <c r="AA104" s="19">
        <f>$I$34</f>
        <v>0</v>
      </c>
      <c r="AB104" s="19">
        <f>$I$35</f>
        <v>0</v>
      </c>
      <c r="AC104" s="19">
        <f>$I$36</f>
        <v>0</v>
      </c>
      <c r="AD104" s="19">
        <f>$I$37</f>
        <v>0</v>
      </c>
      <c r="AP104" t="s">
        <v>17</v>
      </c>
      <c r="AQ104" t="s">
        <v>208</v>
      </c>
      <c r="BA104" t="s">
        <v>333</v>
      </c>
    </row>
    <row r="105" spans="1:53" s="19" customFormat="1" x14ac:dyDescent="0.25">
      <c r="A105" s="19">
        <v>0</v>
      </c>
      <c r="B105" s="19">
        <v>0</v>
      </c>
      <c r="C105" s="19">
        <v>0</v>
      </c>
      <c r="D105" s="19">
        <v>0</v>
      </c>
      <c r="E105" s="19">
        <v>0</v>
      </c>
      <c r="F105" s="19">
        <v>0</v>
      </c>
      <c r="G105" s="19">
        <v>0</v>
      </c>
      <c r="H105" s="19">
        <v>0</v>
      </c>
      <c r="I105" s="19">
        <v>0</v>
      </c>
      <c r="J105" s="19">
        <v>0</v>
      </c>
      <c r="K105" s="19">
        <v>0</v>
      </c>
      <c r="AP105">
        <v>0</v>
      </c>
      <c r="AQ105" t="s">
        <v>209</v>
      </c>
      <c r="BA105" t="s">
        <v>334</v>
      </c>
    </row>
    <row r="106" spans="1:53" s="19" customFormat="1" x14ac:dyDescent="0.25">
      <c r="A106" s="19">
        <v>0</v>
      </c>
      <c r="B106" s="19">
        <v>0</v>
      </c>
      <c r="C106" s="19">
        <v>0</v>
      </c>
      <c r="D106" s="19">
        <v>0</v>
      </c>
      <c r="E106" s="19">
        <v>0</v>
      </c>
      <c r="F106" s="19">
        <v>0</v>
      </c>
      <c r="G106" s="19">
        <v>0</v>
      </c>
      <c r="H106" s="19">
        <v>0</v>
      </c>
      <c r="I106" s="19">
        <v>0</v>
      </c>
      <c r="J106" s="19">
        <v>0</v>
      </c>
      <c r="K106" s="19">
        <v>0</v>
      </c>
      <c r="AP106">
        <v>0</v>
      </c>
      <c r="AQ106" t="s">
        <v>210</v>
      </c>
      <c r="BA106" t="s">
        <v>335</v>
      </c>
    </row>
    <row r="107" spans="1:53" s="19" customFormat="1" x14ac:dyDescent="0.25">
      <c r="A107" s="19">
        <v>2</v>
      </c>
      <c r="B107" s="22">
        <v>0</v>
      </c>
      <c r="C107" s="19">
        <v>0</v>
      </c>
      <c r="D107" s="19">
        <v>0</v>
      </c>
      <c r="E107" s="19">
        <v>0</v>
      </c>
      <c r="F107" s="19">
        <v>0</v>
      </c>
      <c r="G107" s="19">
        <v>0</v>
      </c>
      <c r="H107" s="19">
        <v>0</v>
      </c>
      <c r="I107" s="19">
        <v>0</v>
      </c>
      <c r="J107" s="19">
        <v>0</v>
      </c>
      <c r="K107" s="19">
        <v>0</v>
      </c>
      <c r="AP107">
        <v>2</v>
      </c>
      <c r="AQ107" t="s">
        <v>211</v>
      </c>
      <c r="BA107" t="s">
        <v>175</v>
      </c>
    </row>
    <row r="108" spans="1:53" x14ac:dyDescent="0.25">
      <c r="A108" t="s">
        <v>62</v>
      </c>
      <c r="L108" s="19"/>
      <c r="M108" s="19"/>
      <c r="N108" s="19"/>
      <c r="O108" s="19"/>
      <c r="P108" s="19"/>
      <c r="Q108" s="19"/>
      <c r="R108" s="19"/>
      <c r="S108" s="19"/>
      <c r="T108" s="19"/>
      <c r="U108" s="19"/>
      <c r="V108" s="19"/>
      <c r="W108" s="19"/>
      <c r="X108" s="19"/>
      <c r="Y108" s="19"/>
      <c r="Z108" s="19"/>
      <c r="AA108" s="19"/>
      <c r="AB108" s="19"/>
      <c r="AC108" s="19"/>
      <c r="AD108" s="19"/>
      <c r="AP108" t="s">
        <v>62</v>
      </c>
      <c r="AQ108" t="s">
        <v>212</v>
      </c>
      <c r="BA108" t="s">
        <v>336</v>
      </c>
    </row>
    <row r="109" spans="1:53" x14ac:dyDescent="0.25">
      <c r="A109" t="s">
        <v>17</v>
      </c>
      <c r="L109" s="19"/>
      <c r="M109" s="19"/>
      <c r="N109" s="19"/>
      <c r="O109" s="19"/>
      <c r="P109" s="19"/>
      <c r="Q109" s="19"/>
      <c r="R109" s="19"/>
      <c r="S109" s="19"/>
      <c r="T109" s="19"/>
      <c r="U109" s="19"/>
      <c r="V109" s="19"/>
      <c r="W109" s="19"/>
      <c r="X109" s="19"/>
      <c r="Y109" s="19"/>
      <c r="Z109" s="19"/>
      <c r="AA109" s="19"/>
      <c r="AB109" s="19"/>
      <c r="AC109" s="19"/>
      <c r="AD109" s="19"/>
      <c r="AP109" t="s">
        <v>17</v>
      </c>
      <c r="AQ109" t="s">
        <v>214</v>
      </c>
      <c r="BA109" t="s">
        <v>313</v>
      </c>
    </row>
    <row r="110" spans="1:53" x14ac:dyDescent="0.25">
      <c r="F110" s="22"/>
      <c r="L110" s="19"/>
      <c r="M110" s="19"/>
      <c r="N110" s="19"/>
      <c r="O110" s="19"/>
      <c r="P110" s="19"/>
      <c r="Q110" s="19"/>
      <c r="R110" s="19"/>
      <c r="S110" s="19"/>
      <c r="T110" s="19"/>
      <c r="U110" s="19"/>
      <c r="V110" s="19"/>
      <c r="W110" s="19"/>
      <c r="X110" s="19"/>
      <c r="Y110" s="19"/>
      <c r="Z110" s="19"/>
      <c r="AA110" s="19"/>
      <c r="AB110" s="19"/>
      <c r="AC110" s="19"/>
      <c r="AD110" s="19"/>
      <c r="AP110">
        <v>1500</v>
      </c>
      <c r="AQ110" t="s">
        <v>215</v>
      </c>
      <c r="BA110" t="s">
        <v>320</v>
      </c>
    </row>
    <row r="111" spans="1:53" x14ac:dyDescent="0.25">
      <c r="E111" s="22"/>
      <c r="F111" s="22"/>
      <c r="L111" s="19"/>
      <c r="M111" s="19"/>
      <c r="N111" s="19"/>
      <c r="O111" s="19"/>
      <c r="P111" s="19"/>
      <c r="Q111" s="19"/>
      <c r="R111" s="19"/>
      <c r="S111" s="19"/>
      <c r="T111" s="19"/>
      <c r="U111" s="19"/>
      <c r="V111" s="19"/>
      <c r="W111" s="19"/>
      <c r="X111" s="19"/>
      <c r="Y111" s="19"/>
      <c r="Z111" s="19"/>
      <c r="AA111" s="19"/>
      <c r="AB111" s="19"/>
      <c r="AC111" s="19"/>
      <c r="AD111" s="19"/>
      <c r="AP111" t="s">
        <v>17</v>
      </c>
      <c r="AQ111" t="s">
        <v>216</v>
      </c>
      <c r="BA111" t="s">
        <v>321</v>
      </c>
    </row>
    <row r="112" spans="1:53" x14ac:dyDescent="0.25">
      <c r="E112" s="22"/>
      <c r="F112" s="22"/>
      <c r="H112" s="22"/>
      <c r="L112" s="19"/>
      <c r="M112" s="19"/>
      <c r="N112" s="19"/>
      <c r="O112" s="19"/>
      <c r="P112" s="19"/>
      <c r="Q112" s="19"/>
      <c r="R112" s="19"/>
      <c r="S112" s="19"/>
      <c r="T112" s="19"/>
      <c r="U112" s="19"/>
      <c r="V112" s="19"/>
      <c r="W112" s="19"/>
      <c r="X112" s="19"/>
      <c r="Y112" s="19"/>
      <c r="Z112" s="19"/>
      <c r="AA112" s="19"/>
      <c r="AB112" s="19"/>
      <c r="AC112" s="19"/>
      <c r="AD112" s="19"/>
      <c r="AP112">
        <v>0</v>
      </c>
      <c r="AQ112" t="s">
        <v>217</v>
      </c>
      <c r="BA112" t="s">
        <v>322</v>
      </c>
    </row>
    <row r="113" spans="1:53" x14ac:dyDescent="0.25">
      <c r="D113" s="22"/>
      <c r="E113" s="22"/>
      <c r="F113" s="22"/>
      <c r="H113" s="22"/>
      <c r="L113" s="19"/>
      <c r="M113" s="19"/>
      <c r="N113" s="19"/>
      <c r="O113" s="19"/>
      <c r="P113" s="19"/>
      <c r="Q113" s="19"/>
      <c r="R113" s="19"/>
      <c r="S113" s="19"/>
      <c r="T113" s="19"/>
      <c r="U113" s="19"/>
      <c r="V113" s="19"/>
      <c r="W113" s="19"/>
      <c r="X113" s="19"/>
      <c r="Y113" s="19"/>
      <c r="Z113" s="19"/>
      <c r="AA113" s="19"/>
      <c r="AB113" s="19"/>
      <c r="AC113" s="19"/>
      <c r="AD113" s="19"/>
      <c r="AP113">
        <v>0</v>
      </c>
      <c r="AQ113" t="s">
        <v>218</v>
      </c>
      <c r="BA113" t="s">
        <v>323</v>
      </c>
    </row>
    <row r="114" spans="1:53" x14ac:dyDescent="0.25">
      <c r="D114" s="22"/>
      <c r="E114" s="22"/>
      <c r="F114" s="22"/>
      <c r="H114" s="22"/>
      <c r="L114" s="19"/>
      <c r="M114" s="19"/>
      <c r="N114" s="19"/>
      <c r="O114" s="19"/>
      <c r="P114" s="19"/>
      <c r="Q114" s="19"/>
      <c r="R114" s="19"/>
      <c r="S114" s="19"/>
      <c r="T114" s="19"/>
      <c r="U114" s="19"/>
      <c r="V114" s="19"/>
      <c r="W114" s="19"/>
      <c r="X114" s="19"/>
      <c r="Y114" s="19"/>
      <c r="Z114" s="19"/>
      <c r="AA114" s="19"/>
      <c r="AB114" s="19"/>
      <c r="AC114" s="19"/>
      <c r="AD114" s="19"/>
      <c r="AP114">
        <v>0</v>
      </c>
      <c r="AQ114" t="s">
        <v>219</v>
      </c>
      <c r="BA114" t="s">
        <v>337</v>
      </c>
    </row>
    <row r="115" spans="1:53" x14ac:dyDescent="0.25">
      <c r="L115" s="19"/>
      <c r="M115" s="19"/>
      <c r="N115" s="19"/>
      <c r="O115" s="19"/>
      <c r="P115" s="19"/>
      <c r="Q115" s="19"/>
      <c r="R115" s="19"/>
      <c r="S115" s="19"/>
      <c r="T115" s="19"/>
      <c r="U115" s="19"/>
      <c r="V115" s="19"/>
      <c r="W115" s="19"/>
      <c r="X115" s="19"/>
      <c r="Y115" s="19"/>
      <c r="Z115" s="19"/>
      <c r="AA115" s="19"/>
      <c r="AB115" s="19"/>
      <c r="AC115" s="19"/>
      <c r="AD115" s="19"/>
      <c r="AP115">
        <v>1500</v>
      </c>
      <c r="AQ115" t="s">
        <v>220</v>
      </c>
      <c r="BA115" t="s">
        <v>338</v>
      </c>
    </row>
    <row r="116" spans="1:53" x14ac:dyDescent="0.25">
      <c r="L116" s="19"/>
      <c r="M116" s="19"/>
      <c r="N116" s="19"/>
      <c r="O116" s="19"/>
      <c r="P116" s="19"/>
      <c r="Q116" s="19"/>
      <c r="R116" s="19"/>
      <c r="S116" s="19"/>
      <c r="T116" s="19"/>
      <c r="U116" s="19"/>
      <c r="V116" s="19"/>
      <c r="W116" s="19"/>
      <c r="X116" s="19"/>
      <c r="Y116" s="19"/>
      <c r="Z116" s="19"/>
      <c r="AA116" s="19"/>
      <c r="AB116" s="19"/>
      <c r="AC116" s="19"/>
      <c r="AD116" s="19"/>
      <c r="AP116" t="s">
        <v>17</v>
      </c>
      <c r="AQ116" t="s">
        <v>221</v>
      </c>
      <c r="BA116" t="s">
        <v>339</v>
      </c>
    </row>
    <row r="117" spans="1:53" x14ac:dyDescent="0.25">
      <c r="L117" s="19"/>
      <c r="M117" s="19"/>
      <c r="N117" s="19"/>
      <c r="O117" s="19"/>
      <c r="P117" s="19"/>
      <c r="Q117" s="19"/>
      <c r="R117" s="19"/>
      <c r="S117" s="19"/>
      <c r="T117" s="19"/>
      <c r="U117" s="19"/>
      <c r="V117" s="19"/>
      <c r="W117" s="19"/>
      <c r="X117" s="19"/>
      <c r="Y117" s="19"/>
      <c r="Z117" s="19"/>
      <c r="AA117" s="19"/>
      <c r="AB117" s="19"/>
      <c r="AC117" s="19"/>
      <c r="AD117" s="19"/>
      <c r="AP117">
        <v>0</v>
      </c>
      <c r="AQ117" t="s">
        <v>222</v>
      </c>
      <c r="BA117" t="s">
        <v>340</v>
      </c>
    </row>
    <row r="118" spans="1:53" x14ac:dyDescent="0.25">
      <c r="L118" s="19" t="s">
        <v>63</v>
      </c>
      <c r="M118" s="19" t="s">
        <v>63</v>
      </c>
      <c r="N118" s="19" t="s">
        <v>63</v>
      </c>
      <c r="O118" s="19" t="s">
        <v>63</v>
      </c>
      <c r="P118" s="19" t="s">
        <v>63</v>
      </c>
      <c r="Q118" s="19" t="s">
        <v>63</v>
      </c>
      <c r="R118" s="19" t="s">
        <v>63</v>
      </c>
      <c r="S118" s="19" t="s">
        <v>63</v>
      </c>
      <c r="T118" s="19" t="s">
        <v>63</v>
      </c>
      <c r="U118" s="19" t="s">
        <v>63</v>
      </c>
      <c r="V118" s="19" t="s">
        <v>63</v>
      </c>
      <c r="W118" s="19" t="s">
        <v>63</v>
      </c>
      <c r="X118" s="19" t="s">
        <v>63</v>
      </c>
      <c r="Y118" s="19" t="s">
        <v>63</v>
      </c>
      <c r="Z118" s="19" t="s">
        <v>63</v>
      </c>
      <c r="AA118" s="19" t="s">
        <v>63</v>
      </c>
      <c r="AB118" s="19" t="s">
        <v>63</v>
      </c>
      <c r="AC118" s="19" t="s">
        <v>63</v>
      </c>
      <c r="AD118" s="19" t="s">
        <v>63</v>
      </c>
      <c r="AP118">
        <v>0</v>
      </c>
      <c r="AQ118" t="s">
        <v>223</v>
      </c>
      <c r="BA118" t="s">
        <v>341</v>
      </c>
    </row>
    <row r="119" spans="1:53" x14ac:dyDescent="0.25">
      <c r="A119" s="19" t="s">
        <v>63</v>
      </c>
      <c r="B119" s="19" t="s">
        <v>63</v>
      </c>
      <c r="C119" s="19" t="s">
        <v>63</v>
      </c>
      <c r="D119" s="19" t="s">
        <v>63</v>
      </c>
      <c r="E119" s="19" t="s">
        <v>63</v>
      </c>
      <c r="F119" s="19" t="s">
        <v>63</v>
      </c>
      <c r="H119" s="19" t="s">
        <v>63</v>
      </c>
      <c r="I119" s="19" t="s">
        <v>63</v>
      </c>
      <c r="J119" s="19" t="s">
        <v>63</v>
      </c>
      <c r="K119" s="19" t="s">
        <v>63</v>
      </c>
      <c r="L119" s="19" t="s">
        <v>63</v>
      </c>
      <c r="M119" s="19" t="s">
        <v>63</v>
      </c>
      <c r="N119" s="19" t="s">
        <v>63</v>
      </c>
      <c r="O119" s="19" t="s">
        <v>63</v>
      </c>
      <c r="P119" s="19" t="s">
        <v>63</v>
      </c>
      <c r="Q119" s="19" t="s">
        <v>63</v>
      </c>
      <c r="R119" s="19" t="s">
        <v>63</v>
      </c>
      <c r="S119" s="19" t="s">
        <v>63</v>
      </c>
      <c r="T119" s="19" t="s">
        <v>63</v>
      </c>
      <c r="U119" s="19" t="s">
        <v>63</v>
      </c>
      <c r="V119" s="19" t="s">
        <v>63</v>
      </c>
      <c r="W119" s="19" t="s">
        <v>63</v>
      </c>
      <c r="X119" s="19" t="s">
        <v>63</v>
      </c>
      <c r="Y119" s="19" t="s">
        <v>63</v>
      </c>
      <c r="Z119" s="19" t="s">
        <v>63</v>
      </c>
      <c r="AA119" s="19" t="s">
        <v>63</v>
      </c>
      <c r="AB119" s="19" t="s">
        <v>63</v>
      </c>
      <c r="AC119" s="19" t="s">
        <v>63</v>
      </c>
      <c r="AD119" s="19" t="s">
        <v>63</v>
      </c>
      <c r="AP119">
        <v>0</v>
      </c>
      <c r="AQ119" t="s">
        <v>224</v>
      </c>
      <c r="BA119" t="s">
        <v>291</v>
      </c>
    </row>
    <row r="120" spans="1:53" x14ac:dyDescent="0.25">
      <c r="A120" s="19" t="s">
        <v>63</v>
      </c>
      <c r="B120" s="19" t="s">
        <v>63</v>
      </c>
      <c r="C120" s="19" t="s">
        <v>63</v>
      </c>
      <c r="D120" s="19" t="s">
        <v>63</v>
      </c>
      <c r="E120" s="19" t="s">
        <v>63</v>
      </c>
      <c r="F120" s="19" t="s">
        <v>63</v>
      </c>
      <c r="G120" s="19" t="s">
        <v>63</v>
      </c>
      <c r="H120" s="19" t="s">
        <v>63</v>
      </c>
      <c r="I120" s="19" t="s">
        <v>63</v>
      </c>
      <c r="J120" s="19" t="s">
        <v>63</v>
      </c>
      <c r="K120" s="19" t="s">
        <v>63</v>
      </c>
      <c r="L120" s="19" t="s">
        <v>63</v>
      </c>
      <c r="M120" s="19" t="s">
        <v>63</v>
      </c>
      <c r="N120" s="19" t="s">
        <v>63</v>
      </c>
      <c r="O120" s="19" t="s">
        <v>63</v>
      </c>
      <c r="P120" s="19" t="s">
        <v>63</v>
      </c>
      <c r="Q120" s="19" t="s">
        <v>63</v>
      </c>
      <c r="R120" s="19" t="s">
        <v>63</v>
      </c>
      <c r="S120" s="19" t="s">
        <v>63</v>
      </c>
      <c r="T120" s="19" t="s">
        <v>63</v>
      </c>
      <c r="U120" s="19" t="s">
        <v>63</v>
      </c>
      <c r="V120" s="19" t="s">
        <v>63</v>
      </c>
      <c r="W120" s="19" t="s">
        <v>63</v>
      </c>
      <c r="X120" s="19" t="s">
        <v>63</v>
      </c>
      <c r="Y120" s="19" t="s">
        <v>63</v>
      </c>
      <c r="Z120" s="19" t="s">
        <v>63</v>
      </c>
      <c r="AA120" s="19" t="s">
        <v>63</v>
      </c>
      <c r="AB120" s="19" t="s">
        <v>63</v>
      </c>
      <c r="AC120" s="19" t="s">
        <v>63</v>
      </c>
      <c r="AD120" s="19" t="s">
        <v>63</v>
      </c>
      <c r="AP120">
        <v>1500</v>
      </c>
      <c r="AQ120" t="s">
        <v>225</v>
      </c>
      <c r="BA120" t="s">
        <v>342</v>
      </c>
    </row>
    <row r="121" spans="1:53" x14ac:dyDescent="0.25">
      <c r="A121" s="19" t="s">
        <v>63</v>
      </c>
      <c r="B121" s="19" t="s">
        <v>63</v>
      </c>
      <c r="C121" s="19" t="s">
        <v>63</v>
      </c>
      <c r="D121" s="19" t="s">
        <v>63</v>
      </c>
      <c r="E121" s="19" t="s">
        <v>63</v>
      </c>
      <c r="F121" s="19" t="s">
        <v>63</v>
      </c>
      <c r="G121" s="19" t="s">
        <v>63</v>
      </c>
      <c r="H121" s="19" t="s">
        <v>63</v>
      </c>
      <c r="I121" s="19" t="s">
        <v>63</v>
      </c>
      <c r="J121" s="19" t="s">
        <v>63</v>
      </c>
      <c r="K121" s="19" t="s">
        <v>63</v>
      </c>
      <c r="L121" s="19" t="s">
        <v>63</v>
      </c>
      <c r="M121" s="19" t="s">
        <v>63</v>
      </c>
      <c r="N121" s="19" t="s">
        <v>63</v>
      </c>
      <c r="O121" s="19" t="s">
        <v>63</v>
      </c>
      <c r="P121" s="19" t="s">
        <v>63</v>
      </c>
      <c r="Q121" s="19" t="s">
        <v>63</v>
      </c>
      <c r="R121" s="19" t="s">
        <v>63</v>
      </c>
      <c r="S121" s="19" t="s">
        <v>63</v>
      </c>
      <c r="T121" s="19" t="s">
        <v>63</v>
      </c>
      <c r="U121" s="19" t="s">
        <v>63</v>
      </c>
      <c r="V121" s="19" t="s">
        <v>63</v>
      </c>
      <c r="W121" s="19" t="s">
        <v>63</v>
      </c>
      <c r="X121" s="19" t="s">
        <v>63</v>
      </c>
      <c r="Y121" s="19" t="s">
        <v>63</v>
      </c>
      <c r="Z121" s="19" t="s">
        <v>63</v>
      </c>
      <c r="AA121" s="19" t="s">
        <v>63</v>
      </c>
      <c r="AB121" s="19" t="s">
        <v>63</v>
      </c>
      <c r="AC121" s="19" t="s">
        <v>63</v>
      </c>
      <c r="AD121" s="19" t="s">
        <v>63</v>
      </c>
      <c r="AP121" t="s">
        <v>17</v>
      </c>
      <c r="AQ121" t="s">
        <v>226</v>
      </c>
      <c r="BA121" t="s">
        <v>343</v>
      </c>
    </row>
    <row r="122" spans="1:53" x14ac:dyDescent="0.25">
      <c r="A122" s="19" t="s">
        <v>63</v>
      </c>
      <c r="B122" s="19" t="s">
        <v>63</v>
      </c>
      <c r="C122" s="19" t="s">
        <v>63</v>
      </c>
      <c r="D122" s="19" t="s">
        <v>63</v>
      </c>
      <c r="E122" s="19" t="s">
        <v>63</v>
      </c>
      <c r="F122" s="19" t="s">
        <v>63</v>
      </c>
      <c r="G122" s="19" t="s">
        <v>63</v>
      </c>
      <c r="H122" s="19" t="s">
        <v>63</v>
      </c>
      <c r="I122" s="19" t="s">
        <v>63</v>
      </c>
      <c r="J122" s="19" t="s">
        <v>63</v>
      </c>
      <c r="K122" s="19" t="s">
        <v>63</v>
      </c>
      <c r="L122" s="19" t="s">
        <v>63</v>
      </c>
      <c r="M122" s="19" t="s">
        <v>63</v>
      </c>
      <c r="N122" s="19" t="s">
        <v>63</v>
      </c>
      <c r="O122" s="19" t="s">
        <v>63</v>
      </c>
      <c r="P122" s="19" t="s">
        <v>63</v>
      </c>
      <c r="Q122" s="19" t="s">
        <v>63</v>
      </c>
      <c r="R122" s="19" t="s">
        <v>63</v>
      </c>
      <c r="S122" s="19" t="s">
        <v>63</v>
      </c>
      <c r="T122" s="19" t="s">
        <v>63</v>
      </c>
      <c r="U122" s="19" t="s">
        <v>63</v>
      </c>
      <c r="V122" s="19" t="s">
        <v>63</v>
      </c>
      <c r="W122" s="19" t="s">
        <v>63</v>
      </c>
      <c r="X122" s="19" t="s">
        <v>63</v>
      </c>
      <c r="Y122" s="19" t="s">
        <v>63</v>
      </c>
      <c r="Z122" s="19" t="s">
        <v>63</v>
      </c>
      <c r="AA122" s="19" t="s">
        <v>63</v>
      </c>
      <c r="AB122" s="19" t="s">
        <v>63</v>
      </c>
      <c r="AC122" s="19" t="s">
        <v>63</v>
      </c>
      <c r="AD122" s="19" t="s">
        <v>63</v>
      </c>
      <c r="AP122">
        <v>0</v>
      </c>
      <c r="AQ122" t="s">
        <v>227</v>
      </c>
      <c r="BA122" t="s">
        <v>344</v>
      </c>
    </row>
    <row r="123" spans="1:53" s="18" customFormat="1" ht="30" customHeight="1" x14ac:dyDescent="0.25">
      <c r="A123" s="26" t="s">
        <v>61</v>
      </c>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c r="AF123"/>
      <c r="AG123"/>
      <c r="AH123"/>
      <c r="AI123"/>
      <c r="AJ123"/>
      <c r="AK123"/>
      <c r="AL123"/>
      <c r="AM123"/>
      <c r="AN123"/>
      <c r="AO123"/>
      <c r="AP123">
        <v>0</v>
      </c>
      <c r="AQ123" t="s">
        <v>228</v>
      </c>
      <c r="AR123"/>
      <c r="AS123"/>
      <c r="AT123"/>
      <c r="AU123"/>
      <c r="BA123" t="s">
        <v>313</v>
      </c>
    </row>
    <row r="124" spans="1:53" ht="27" customHeight="1" x14ac:dyDescent="0.25">
      <c r="A124" s="5" t="s">
        <v>26</v>
      </c>
      <c r="B124" s="5" t="s">
        <v>27</v>
      </c>
      <c r="C124" s="5" t="s">
        <v>28</v>
      </c>
      <c r="D124" s="5" t="s">
        <v>29</v>
      </c>
      <c r="E124" s="5" t="s">
        <v>30</v>
      </c>
      <c r="F124" s="5" t="s">
        <v>31</v>
      </c>
      <c r="G124" s="5" t="s">
        <v>32</v>
      </c>
      <c r="H124" s="5" t="s">
        <v>33</v>
      </c>
      <c r="I124" s="5" t="s">
        <v>34</v>
      </c>
      <c r="J124" s="5" t="s">
        <v>35</v>
      </c>
      <c r="K124" s="5" t="s">
        <v>36</v>
      </c>
      <c r="L124" s="5" t="s">
        <v>37</v>
      </c>
      <c r="M124" s="5" t="s">
        <v>38</v>
      </c>
      <c r="N124" s="5" t="s">
        <v>39</v>
      </c>
      <c r="O124" s="5" t="s">
        <v>40</v>
      </c>
      <c r="P124" s="5" t="s">
        <v>41</v>
      </c>
      <c r="Q124" s="5" t="s">
        <v>42</v>
      </c>
      <c r="R124" s="5" t="s">
        <v>43</v>
      </c>
      <c r="S124" s="5" t="s">
        <v>44</v>
      </c>
      <c r="T124" s="5" t="s">
        <v>45</v>
      </c>
      <c r="U124" s="5" t="s">
        <v>46</v>
      </c>
      <c r="V124" s="5" t="s">
        <v>47</v>
      </c>
      <c r="W124" s="5" t="s">
        <v>48</v>
      </c>
      <c r="X124" s="5" t="s">
        <v>49</v>
      </c>
      <c r="Y124" s="5" t="s">
        <v>50</v>
      </c>
      <c r="Z124" s="5" t="s">
        <v>51</v>
      </c>
      <c r="AA124" s="5" t="s">
        <v>52</v>
      </c>
      <c r="AB124" s="5" t="s">
        <v>53</v>
      </c>
      <c r="AC124" s="5" t="s">
        <v>54</v>
      </c>
      <c r="AD124" s="5" t="s">
        <v>55</v>
      </c>
      <c r="AP124">
        <v>0</v>
      </c>
      <c r="AQ124" t="s">
        <v>229</v>
      </c>
      <c r="BA124" t="s">
        <v>345</v>
      </c>
    </row>
    <row r="125" spans="1:53" s="19" customFormat="1" x14ac:dyDescent="0.25">
      <c r="A125" s="19">
        <f>$H$8</f>
        <v>3000</v>
      </c>
      <c r="B125" s="19">
        <f>H29</f>
        <v>0</v>
      </c>
      <c r="C125" s="19">
        <f>H30</f>
        <v>0</v>
      </c>
      <c r="D125" s="19">
        <f>H31</f>
        <v>0</v>
      </c>
      <c r="E125" s="19">
        <f>H32</f>
        <v>0</v>
      </c>
      <c r="F125" s="19">
        <f>H33</f>
        <v>0</v>
      </c>
      <c r="G125" s="19">
        <f>H34</f>
        <v>0</v>
      </c>
      <c r="H125" s="19">
        <f>H35</f>
        <v>0</v>
      </c>
      <c r="I125" s="19">
        <f>H36</f>
        <v>0</v>
      </c>
      <c r="J125" s="19">
        <f>H37</f>
        <v>0</v>
      </c>
      <c r="K125" s="19">
        <f>H38</f>
        <v>0</v>
      </c>
      <c r="L125" s="19">
        <f>H39</f>
        <v>0</v>
      </c>
      <c r="M125" s="19">
        <f>H40</f>
        <v>0</v>
      </c>
      <c r="N125" s="19">
        <f>H41</f>
        <v>0</v>
      </c>
      <c r="O125" s="19">
        <f>H42</f>
        <v>0</v>
      </c>
      <c r="P125" s="19">
        <f>H43</f>
        <v>0</v>
      </c>
      <c r="Q125" s="19">
        <f>H44</f>
        <v>0</v>
      </c>
      <c r="R125" s="19">
        <f>H45</f>
        <v>0</v>
      </c>
      <c r="S125" s="19">
        <f>H46</f>
        <v>0</v>
      </c>
      <c r="T125" s="19">
        <f>H47</f>
        <v>0</v>
      </c>
      <c r="U125" s="19">
        <f>H48</f>
        <v>0</v>
      </c>
      <c r="V125" s="19">
        <f>H49</f>
        <v>0</v>
      </c>
      <c r="W125" s="19">
        <f>H50</f>
        <v>0</v>
      </c>
      <c r="X125" s="19">
        <f>H51</f>
        <v>0</v>
      </c>
      <c r="Y125" s="19">
        <f>H52</f>
        <v>0</v>
      </c>
      <c r="Z125" s="19">
        <f>H53</f>
        <v>0</v>
      </c>
      <c r="AA125" s="19">
        <f>H54</f>
        <v>0</v>
      </c>
      <c r="AB125" s="19">
        <f>H55</f>
        <v>0</v>
      </c>
      <c r="AC125" s="19">
        <f>H56</f>
        <v>0</v>
      </c>
      <c r="AD125" s="19">
        <f>H57</f>
        <v>0</v>
      </c>
      <c r="AO125" s="19">
        <v>1</v>
      </c>
      <c r="AP125">
        <v>1500</v>
      </c>
      <c r="AQ125" t="s">
        <v>230</v>
      </c>
      <c r="BA125" t="s">
        <v>346</v>
      </c>
    </row>
    <row r="126" spans="1:53" s="19" customFormat="1" x14ac:dyDescent="0.25">
      <c r="A126" s="19" t="str">
        <f>$I$8</f>
        <v>X</v>
      </c>
      <c r="B126" s="19" t="str">
        <f>$I$9</f>
        <v>X</v>
      </c>
      <c r="C126" s="19" t="str">
        <f>$I$10</f>
        <v>X</v>
      </c>
      <c r="D126" s="19" t="str">
        <f>$I$11</f>
        <v>X</v>
      </c>
      <c r="E126" s="19" t="str">
        <f>$I$12</f>
        <v>X</v>
      </c>
      <c r="F126" s="19" t="str">
        <f>$I$13</f>
        <v>X</v>
      </c>
      <c r="G126" s="19" t="str">
        <f>$I$14</f>
        <v>X</v>
      </c>
      <c r="H126" s="19" t="str">
        <f>$I$15</f>
        <v>X</v>
      </c>
      <c r="I126" s="19" t="str">
        <f>$I$16</f>
        <v>X</v>
      </c>
      <c r="J126" s="19" t="str">
        <f>$I$17</f>
        <v>X</v>
      </c>
      <c r="K126" s="19" t="str">
        <f>$I$18</f>
        <v>X</v>
      </c>
      <c r="L126" s="19">
        <f>$I$19</f>
        <v>0</v>
      </c>
      <c r="M126" s="19">
        <f>$I$20</f>
        <v>0</v>
      </c>
      <c r="N126" s="19">
        <f>$I$21</f>
        <v>0</v>
      </c>
      <c r="O126" s="19">
        <f>$I$22</f>
        <v>0</v>
      </c>
      <c r="P126" s="19">
        <f>$I$23</f>
        <v>0</v>
      </c>
      <c r="Q126" s="19">
        <f>$I$24</f>
        <v>0</v>
      </c>
      <c r="R126" s="19">
        <f>$I$25</f>
        <v>0</v>
      </c>
      <c r="S126" s="19">
        <f>$I$26</f>
        <v>0</v>
      </c>
      <c r="T126" s="19">
        <f>$I$27</f>
        <v>0</v>
      </c>
      <c r="U126" s="19">
        <f>$I$28</f>
        <v>0</v>
      </c>
      <c r="V126" s="19">
        <f>$I$29</f>
        <v>0</v>
      </c>
      <c r="W126" s="19">
        <f>$I$30</f>
        <v>0</v>
      </c>
      <c r="X126" s="19">
        <f>$I$31</f>
        <v>0</v>
      </c>
      <c r="Y126" s="19">
        <f>$I$32</f>
        <v>0</v>
      </c>
      <c r="Z126" s="19">
        <f>$I$33</f>
        <v>0</v>
      </c>
      <c r="AA126" s="19">
        <f>$I$34</f>
        <v>0</v>
      </c>
      <c r="AB126" s="19">
        <f>$I$35</f>
        <v>0</v>
      </c>
      <c r="AC126" s="19">
        <f>$I$36</f>
        <v>0</v>
      </c>
      <c r="AD126" s="19">
        <f>$I$37</f>
        <v>0</v>
      </c>
      <c r="AO126" s="19">
        <v>2</v>
      </c>
      <c r="AP126" t="s">
        <v>17</v>
      </c>
      <c r="AQ126" t="s">
        <v>231</v>
      </c>
      <c r="BA126" t="s">
        <v>347</v>
      </c>
    </row>
    <row r="127" spans="1:53" s="19" customFormat="1" x14ac:dyDescent="0.25">
      <c r="A127" s="19">
        <f>$J$8</f>
        <v>0</v>
      </c>
      <c r="B127" s="19">
        <f>$J$9</f>
        <v>0</v>
      </c>
      <c r="C127" s="19">
        <f>$J$10</f>
        <v>0</v>
      </c>
      <c r="D127" s="19">
        <f>$J$11</f>
        <v>0</v>
      </c>
      <c r="E127" s="19">
        <f>$J$12</f>
        <v>0</v>
      </c>
      <c r="F127" s="19">
        <f>$J$13</f>
        <v>0</v>
      </c>
      <c r="G127" s="19">
        <f>$J$14</f>
        <v>0</v>
      </c>
      <c r="H127" s="19">
        <f>$J$15</f>
        <v>0</v>
      </c>
      <c r="I127" s="19">
        <f>$J$16</f>
        <v>0</v>
      </c>
      <c r="J127" s="19">
        <f>$J$17</f>
        <v>0</v>
      </c>
      <c r="K127" s="19">
        <f>$J$18</f>
        <v>0</v>
      </c>
      <c r="L127" s="19">
        <f>$J$19</f>
        <v>0</v>
      </c>
      <c r="M127" s="19">
        <f>$J$20</f>
        <v>0</v>
      </c>
      <c r="N127" s="19">
        <f>$J$21</f>
        <v>0</v>
      </c>
      <c r="O127" s="19">
        <f>$J$22</f>
        <v>0</v>
      </c>
      <c r="P127" s="19">
        <f>$J$23</f>
        <v>0</v>
      </c>
      <c r="Q127" s="19">
        <f>$J$24</f>
        <v>0</v>
      </c>
      <c r="R127" s="19">
        <f>$J$25</f>
        <v>0</v>
      </c>
      <c r="S127" s="19">
        <f>$J$26</f>
        <v>0</v>
      </c>
      <c r="T127" s="19">
        <f>$J$27</f>
        <v>0</v>
      </c>
      <c r="U127" s="19">
        <f>$J$28</f>
        <v>0</v>
      </c>
      <c r="V127" s="19">
        <f>$J$29</f>
        <v>0</v>
      </c>
      <c r="W127" s="19">
        <f>$J$30</f>
        <v>0</v>
      </c>
      <c r="X127" s="19">
        <f>$J$31</f>
        <v>0</v>
      </c>
      <c r="Y127" s="19">
        <f>$J$32</f>
        <v>0</v>
      </c>
      <c r="Z127" s="19">
        <f>$J$33</f>
        <v>0</v>
      </c>
      <c r="AA127" s="19">
        <f>$J$34</f>
        <v>0</v>
      </c>
      <c r="AB127" s="19">
        <f>$J$35</f>
        <v>0</v>
      </c>
      <c r="AC127" s="19">
        <f>$J$36</f>
        <v>0</v>
      </c>
      <c r="AD127" s="19">
        <f>$J$37</f>
        <v>0</v>
      </c>
      <c r="AO127" s="19">
        <v>3</v>
      </c>
      <c r="AP127">
        <v>0</v>
      </c>
      <c r="AQ127" t="s">
        <v>232</v>
      </c>
      <c r="BA127" t="s">
        <v>348</v>
      </c>
    </row>
    <row r="128" spans="1:53" s="19" customFormat="1" x14ac:dyDescent="0.25">
      <c r="A128" s="19">
        <f>$K$8</f>
        <v>0</v>
      </c>
      <c r="B128" s="19">
        <f>$K$9</f>
        <v>0</v>
      </c>
      <c r="C128" s="19">
        <f>$K$10</f>
        <v>0</v>
      </c>
      <c r="D128" s="19">
        <f>$K$11</f>
        <v>0</v>
      </c>
      <c r="E128" s="19">
        <f>$K$12</f>
        <v>0</v>
      </c>
      <c r="F128" s="19">
        <f>$K$13</f>
        <v>0</v>
      </c>
      <c r="G128" s="19">
        <f>$K$14</f>
        <v>0</v>
      </c>
      <c r="H128" s="19">
        <f>$K$15</f>
        <v>0</v>
      </c>
      <c r="I128" s="19">
        <f>$K$16</f>
        <v>0</v>
      </c>
      <c r="J128" s="19">
        <f>$K$17</f>
        <v>0</v>
      </c>
      <c r="K128" s="19">
        <f>$K$18</f>
        <v>0</v>
      </c>
      <c r="L128" s="19">
        <f>$K$19</f>
        <v>0</v>
      </c>
      <c r="M128" s="19">
        <f>$K$20</f>
        <v>0</v>
      </c>
      <c r="N128" s="19">
        <f>$K$21</f>
        <v>0</v>
      </c>
      <c r="O128" s="19">
        <f>$K$22</f>
        <v>0</v>
      </c>
      <c r="P128" s="19">
        <f>$K$23</f>
        <v>0</v>
      </c>
      <c r="Q128" s="19">
        <f>$K$24</f>
        <v>0</v>
      </c>
      <c r="R128" s="19">
        <f>$K$25</f>
        <v>0</v>
      </c>
      <c r="S128" s="19">
        <f>$K$26</f>
        <v>0</v>
      </c>
      <c r="T128" s="19">
        <f>$K$27</f>
        <v>0</v>
      </c>
      <c r="U128" s="19">
        <f>$K$28</f>
        <v>0</v>
      </c>
      <c r="V128" s="19">
        <f>$K$29</f>
        <v>0</v>
      </c>
      <c r="W128" s="19">
        <f>$K$30</f>
        <v>0</v>
      </c>
      <c r="X128" s="19">
        <f>$K$31</f>
        <v>0</v>
      </c>
      <c r="Y128" s="19">
        <f>$K$32</f>
        <v>0</v>
      </c>
      <c r="Z128" s="19">
        <f>$K$33</f>
        <v>0</v>
      </c>
      <c r="AA128" s="19">
        <f>$K$34</f>
        <v>0</v>
      </c>
      <c r="AB128" s="19">
        <f>$K$35</f>
        <v>0</v>
      </c>
      <c r="AC128" s="19">
        <f>$K$36</f>
        <v>0</v>
      </c>
      <c r="AD128" s="19">
        <f>$K$37</f>
        <v>0</v>
      </c>
      <c r="AP128">
        <v>0</v>
      </c>
      <c r="AQ128" t="s">
        <v>233</v>
      </c>
      <c r="BA128" t="s">
        <v>328</v>
      </c>
    </row>
    <row r="129" spans="1:53" x14ac:dyDescent="0.25">
      <c r="AP129">
        <v>0</v>
      </c>
      <c r="AQ129" t="s">
        <v>234</v>
      </c>
      <c r="BA129" t="s">
        <v>349</v>
      </c>
    </row>
    <row r="130" spans="1:53" x14ac:dyDescent="0.25">
      <c r="AP130">
        <v>1500</v>
      </c>
      <c r="AQ130" t="s">
        <v>235</v>
      </c>
      <c r="BA130" t="s">
        <v>350</v>
      </c>
    </row>
    <row r="131" spans="1:53" x14ac:dyDescent="0.25">
      <c r="AP131">
        <v>9000</v>
      </c>
      <c r="AQ131" t="s">
        <v>236</v>
      </c>
      <c r="BA131" t="s">
        <v>176</v>
      </c>
    </row>
    <row r="132" spans="1:53" x14ac:dyDescent="0.25">
      <c r="AP132">
        <v>6</v>
      </c>
      <c r="AQ132" t="s">
        <v>237</v>
      </c>
      <c r="BA132" t="s">
        <v>351</v>
      </c>
    </row>
    <row r="133" spans="1:53" x14ac:dyDescent="0.25">
      <c r="AP133">
        <v>1500</v>
      </c>
      <c r="AQ133" t="s">
        <v>238</v>
      </c>
      <c r="BA133" t="s">
        <v>352</v>
      </c>
    </row>
    <row r="134" spans="1:53" x14ac:dyDescent="0.25">
      <c r="AP134" t="s">
        <v>17</v>
      </c>
      <c r="AQ134" t="s">
        <v>239</v>
      </c>
      <c r="BA134" t="s">
        <v>353</v>
      </c>
    </row>
    <row r="135" spans="1:53" x14ac:dyDescent="0.25">
      <c r="AP135">
        <v>0</v>
      </c>
      <c r="AQ135" t="s">
        <v>240</v>
      </c>
      <c r="BA135" t="s">
        <v>354</v>
      </c>
    </row>
    <row r="136" spans="1:53" x14ac:dyDescent="0.25">
      <c r="AP136">
        <v>0</v>
      </c>
      <c r="AQ136" t="s">
        <v>241</v>
      </c>
      <c r="BA136" t="s">
        <v>177</v>
      </c>
    </row>
    <row r="137" spans="1:53" x14ac:dyDescent="0.25">
      <c r="AP137">
        <v>0</v>
      </c>
      <c r="AQ137" t="s">
        <v>242</v>
      </c>
      <c r="BA137" t="s">
        <v>355</v>
      </c>
    </row>
    <row r="138" spans="1:53" x14ac:dyDescent="0.25">
      <c r="AP138">
        <v>1500</v>
      </c>
      <c r="AQ138" t="s">
        <v>243</v>
      </c>
      <c r="BA138" t="s">
        <v>291</v>
      </c>
    </row>
    <row r="139" spans="1:53" x14ac:dyDescent="0.25">
      <c r="AP139" t="s">
        <v>17</v>
      </c>
      <c r="AQ139" t="s">
        <v>244</v>
      </c>
      <c r="BA139" t="s">
        <v>320</v>
      </c>
    </row>
    <row r="140" spans="1:53" x14ac:dyDescent="0.25">
      <c r="AP140">
        <v>0</v>
      </c>
      <c r="AQ140" t="s">
        <v>245</v>
      </c>
      <c r="BA140" t="s">
        <v>321</v>
      </c>
    </row>
    <row r="141" spans="1:53" x14ac:dyDescent="0.25">
      <c r="AP141">
        <v>0</v>
      </c>
      <c r="AQ141" t="s">
        <v>246</v>
      </c>
      <c r="BA141" t="s">
        <v>322</v>
      </c>
    </row>
    <row r="142" spans="1:53" ht="30" customHeight="1" x14ac:dyDescent="0.25">
      <c r="A142" s="26" t="s">
        <v>57</v>
      </c>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P142">
        <v>0</v>
      </c>
      <c r="AQ142" t="s">
        <v>247</v>
      </c>
      <c r="BA142" t="s">
        <v>323</v>
      </c>
    </row>
    <row r="143" spans="1:53" ht="30" customHeight="1" x14ac:dyDescent="0.25">
      <c r="A143" s="5" t="s">
        <v>26</v>
      </c>
      <c r="B143" s="5" t="s">
        <v>27</v>
      </c>
      <c r="C143" s="5" t="s">
        <v>28</v>
      </c>
      <c r="D143" s="5" t="s">
        <v>29</v>
      </c>
      <c r="E143" s="5" t="s">
        <v>30</v>
      </c>
      <c r="F143" s="5" t="s">
        <v>31</v>
      </c>
      <c r="G143" s="5" t="s">
        <v>32</v>
      </c>
      <c r="H143" s="5" t="s">
        <v>33</v>
      </c>
      <c r="I143" s="5" t="s">
        <v>34</v>
      </c>
      <c r="J143" s="5" t="s">
        <v>35</v>
      </c>
      <c r="K143" s="5" t="s">
        <v>36</v>
      </c>
      <c r="L143" s="5" t="s">
        <v>37</v>
      </c>
      <c r="M143" s="5" t="s">
        <v>38</v>
      </c>
      <c r="N143" s="5" t="s">
        <v>39</v>
      </c>
      <c r="O143" s="5" t="s">
        <v>40</v>
      </c>
      <c r="P143" s="5" t="s">
        <v>41</v>
      </c>
      <c r="Q143" s="5" t="s">
        <v>42</v>
      </c>
      <c r="R143" s="5" t="s">
        <v>43</v>
      </c>
      <c r="S143" s="5" t="s">
        <v>44</v>
      </c>
      <c r="T143" s="5" t="s">
        <v>45</v>
      </c>
      <c r="U143" s="5" t="s">
        <v>46</v>
      </c>
      <c r="V143" s="5" t="s">
        <v>47</v>
      </c>
      <c r="W143" s="5" t="s">
        <v>48</v>
      </c>
      <c r="X143" s="5" t="s">
        <v>49</v>
      </c>
      <c r="Y143" s="5" t="s">
        <v>50</v>
      </c>
      <c r="Z143" s="5" t="s">
        <v>51</v>
      </c>
      <c r="AA143" s="5" t="s">
        <v>52</v>
      </c>
      <c r="AB143" s="5" t="s">
        <v>53</v>
      </c>
      <c r="AC143" s="5" t="s">
        <v>54</v>
      </c>
      <c r="AD143" s="5" t="s">
        <v>55</v>
      </c>
      <c r="AP143">
        <v>1500</v>
      </c>
      <c r="AQ143" t="s">
        <v>248</v>
      </c>
      <c r="BA143" t="s">
        <v>324</v>
      </c>
    </row>
    <row r="144" spans="1:53" x14ac:dyDescent="0.25">
      <c r="AP144" t="s">
        <v>17</v>
      </c>
      <c r="AQ144" t="s">
        <v>249</v>
      </c>
      <c r="BA144" t="s">
        <v>356</v>
      </c>
    </row>
    <row r="145" spans="42:53" x14ac:dyDescent="0.25">
      <c r="AP145">
        <v>0</v>
      </c>
      <c r="AQ145" t="s">
        <v>250</v>
      </c>
      <c r="BA145" t="s">
        <v>357</v>
      </c>
    </row>
    <row r="146" spans="42:53" x14ac:dyDescent="0.25">
      <c r="AP146">
        <v>0</v>
      </c>
      <c r="AQ146" t="s">
        <v>251</v>
      </c>
      <c r="BA146" t="s">
        <v>340</v>
      </c>
    </row>
    <row r="147" spans="42:53" x14ac:dyDescent="0.25">
      <c r="AP147">
        <v>0</v>
      </c>
      <c r="AQ147" t="s">
        <v>252</v>
      </c>
      <c r="BA147" t="s">
        <v>358</v>
      </c>
    </row>
    <row r="148" spans="42:53" x14ac:dyDescent="0.25">
      <c r="AP148">
        <v>1500</v>
      </c>
      <c r="AQ148" t="s">
        <v>253</v>
      </c>
      <c r="BA148" t="s">
        <v>359</v>
      </c>
    </row>
    <row r="149" spans="42:53" x14ac:dyDescent="0.25">
      <c r="AP149" t="s">
        <v>17</v>
      </c>
      <c r="AQ149" t="s">
        <v>254</v>
      </c>
      <c r="BA149" t="s">
        <v>360</v>
      </c>
    </row>
    <row r="150" spans="42:53" x14ac:dyDescent="0.25">
      <c r="AP150">
        <v>0</v>
      </c>
      <c r="AQ150" t="s">
        <v>255</v>
      </c>
      <c r="BA150" t="s">
        <v>361</v>
      </c>
    </row>
    <row r="151" spans="42:53" x14ac:dyDescent="0.25">
      <c r="AP151">
        <v>0</v>
      </c>
      <c r="AQ151" t="s">
        <v>256</v>
      </c>
      <c r="BA151" t="s">
        <v>291</v>
      </c>
    </row>
    <row r="152" spans="42:53" x14ac:dyDescent="0.25">
      <c r="AP152">
        <v>0</v>
      </c>
      <c r="AQ152" t="s">
        <v>257</v>
      </c>
      <c r="BA152" t="s">
        <v>362</v>
      </c>
    </row>
    <row r="153" spans="42:53" x14ac:dyDescent="0.25">
      <c r="AP153">
        <v>1500</v>
      </c>
      <c r="AQ153" t="s">
        <v>258</v>
      </c>
      <c r="BA153" t="s">
        <v>363</v>
      </c>
    </row>
    <row r="154" spans="42:53" x14ac:dyDescent="0.25">
      <c r="AP154" t="s">
        <v>17</v>
      </c>
      <c r="AQ154" t="s">
        <v>213</v>
      </c>
      <c r="BA154" t="s">
        <v>364</v>
      </c>
    </row>
    <row r="155" spans="42:53" x14ac:dyDescent="0.25">
      <c r="AP155">
        <v>0</v>
      </c>
      <c r="AQ155" t="s">
        <v>213</v>
      </c>
      <c r="BA155" t="s">
        <v>352</v>
      </c>
    </row>
    <row r="156" spans="42:53" x14ac:dyDescent="0.25">
      <c r="AP156">
        <v>0</v>
      </c>
      <c r="AQ156" t="s">
        <v>213</v>
      </c>
      <c r="BA156" t="s">
        <v>353</v>
      </c>
    </row>
    <row r="157" spans="42:53" x14ac:dyDescent="0.25">
      <c r="AP157">
        <v>0</v>
      </c>
      <c r="AQ157" t="s">
        <v>213</v>
      </c>
      <c r="BA157" t="s">
        <v>365</v>
      </c>
    </row>
    <row r="158" spans="42:53" x14ac:dyDescent="0.25">
      <c r="AP158">
        <v>1500</v>
      </c>
      <c r="AQ158" t="s">
        <v>259</v>
      </c>
      <c r="BA158" t="s">
        <v>347</v>
      </c>
    </row>
    <row r="159" spans="42:53" x14ac:dyDescent="0.25">
      <c r="AP159" t="s">
        <v>17</v>
      </c>
      <c r="AQ159" t="s">
        <v>260</v>
      </c>
      <c r="BA159" t="s">
        <v>366</v>
      </c>
    </row>
    <row r="160" spans="42:53" x14ac:dyDescent="0.25">
      <c r="AP160">
        <v>0</v>
      </c>
      <c r="AQ160" t="s">
        <v>261</v>
      </c>
      <c r="BA160" t="s">
        <v>328</v>
      </c>
    </row>
    <row r="161" spans="42:53" x14ac:dyDescent="0.25">
      <c r="AP161">
        <v>0</v>
      </c>
      <c r="AQ161" t="s">
        <v>213</v>
      </c>
      <c r="BA161" t="s">
        <v>367</v>
      </c>
    </row>
    <row r="162" spans="42:53" x14ac:dyDescent="0.25">
      <c r="AP162">
        <v>0</v>
      </c>
      <c r="AQ162" t="s">
        <v>262</v>
      </c>
      <c r="BA162" t="s">
        <v>368</v>
      </c>
    </row>
    <row r="163" spans="42:53" x14ac:dyDescent="0.25">
      <c r="AP163" t="s">
        <v>201</v>
      </c>
      <c r="AQ163" t="s">
        <v>263</v>
      </c>
      <c r="BA163" t="s">
        <v>178</v>
      </c>
    </row>
    <row r="164" spans="42:53" x14ac:dyDescent="0.25">
      <c r="AP164"/>
      <c r="AQ164" t="s">
        <v>264</v>
      </c>
      <c r="BA164" t="s">
        <v>369</v>
      </c>
    </row>
    <row r="165" spans="42:53" x14ac:dyDescent="0.25">
      <c r="AQ165" t="s">
        <v>265</v>
      </c>
      <c r="BA165" t="s">
        <v>291</v>
      </c>
    </row>
    <row r="166" spans="42:53" x14ac:dyDescent="0.25">
      <c r="AQ166" t="s">
        <v>266</v>
      </c>
      <c r="BA166" t="s">
        <v>321</v>
      </c>
    </row>
    <row r="167" spans="42:53" x14ac:dyDescent="0.25">
      <c r="AQ167" t="s">
        <v>267</v>
      </c>
      <c r="BA167" t="s">
        <v>320</v>
      </c>
    </row>
    <row r="168" spans="42:53" x14ac:dyDescent="0.25">
      <c r="AQ168" t="s">
        <v>268</v>
      </c>
      <c r="BA168" t="s">
        <v>322</v>
      </c>
    </row>
    <row r="169" spans="42:53" x14ac:dyDescent="0.25">
      <c r="AQ169" t="s">
        <v>269</v>
      </c>
      <c r="BA169" t="s">
        <v>323</v>
      </c>
    </row>
    <row r="170" spans="42:53" x14ac:dyDescent="0.25">
      <c r="AQ170" t="s">
        <v>270</v>
      </c>
      <c r="BA170" t="s">
        <v>370</v>
      </c>
    </row>
    <row r="171" spans="42:53" x14ac:dyDescent="0.25">
      <c r="AQ171" t="s">
        <v>271</v>
      </c>
      <c r="BA171" t="s">
        <v>371</v>
      </c>
    </row>
    <row r="172" spans="42:53" x14ac:dyDescent="0.25">
      <c r="AQ172" t="s">
        <v>272</v>
      </c>
      <c r="BA172" t="s">
        <v>340</v>
      </c>
    </row>
    <row r="173" spans="42:53" x14ac:dyDescent="0.25">
      <c r="AQ173" t="s">
        <v>273</v>
      </c>
      <c r="BA173" t="s">
        <v>337</v>
      </c>
    </row>
    <row r="174" spans="42:53" x14ac:dyDescent="0.25">
      <c r="AQ174" t="s">
        <v>274</v>
      </c>
      <c r="BA174" t="s">
        <v>372</v>
      </c>
    </row>
    <row r="175" spans="42:53" x14ac:dyDescent="0.25">
      <c r="AQ175" t="s">
        <v>275</v>
      </c>
      <c r="BA175" t="s">
        <v>373</v>
      </c>
    </row>
    <row r="176" spans="42:53" x14ac:dyDescent="0.25">
      <c r="AQ176" t="s">
        <v>276</v>
      </c>
      <c r="BA176" t="s">
        <v>374</v>
      </c>
    </row>
    <row r="177" spans="43:53" x14ac:dyDescent="0.25">
      <c r="AQ177" t="s">
        <v>277</v>
      </c>
      <c r="BA177" t="s">
        <v>375</v>
      </c>
    </row>
    <row r="178" spans="43:53" x14ac:dyDescent="0.25">
      <c r="AQ178" t="s">
        <v>278</v>
      </c>
      <c r="BA178" t="s">
        <v>376</v>
      </c>
    </row>
    <row r="179" spans="43:53" x14ac:dyDescent="0.25">
      <c r="AQ179" t="s">
        <v>279</v>
      </c>
      <c r="BA179" t="s">
        <v>328</v>
      </c>
    </row>
    <row r="180" spans="43:53" x14ac:dyDescent="0.25">
      <c r="AQ180" t="s">
        <v>812</v>
      </c>
      <c r="BA180" t="s">
        <v>377</v>
      </c>
    </row>
    <row r="181" spans="43:53" x14ac:dyDescent="0.25">
      <c r="BA181" t="s">
        <v>378</v>
      </c>
    </row>
    <row r="182" spans="43:53" x14ac:dyDescent="0.25">
      <c r="BA182" t="s">
        <v>179</v>
      </c>
    </row>
    <row r="183" spans="43:53" x14ac:dyDescent="0.25">
      <c r="BA183" t="s">
        <v>379</v>
      </c>
    </row>
    <row r="184" spans="43:53" x14ac:dyDescent="0.25">
      <c r="BA184" t="s">
        <v>313</v>
      </c>
    </row>
    <row r="185" spans="43:53" x14ac:dyDescent="0.25">
      <c r="BA185" t="s">
        <v>321</v>
      </c>
    </row>
    <row r="186" spans="43:53" x14ac:dyDescent="0.25">
      <c r="BA186" t="s">
        <v>320</v>
      </c>
    </row>
    <row r="187" spans="43:53" x14ac:dyDescent="0.25">
      <c r="BA187" t="s">
        <v>322</v>
      </c>
    </row>
    <row r="188" spans="43:53" x14ac:dyDescent="0.25">
      <c r="BA188" t="s">
        <v>323</v>
      </c>
    </row>
    <row r="189" spans="43:53" x14ac:dyDescent="0.25">
      <c r="BA189" t="s">
        <v>380</v>
      </c>
    </row>
    <row r="190" spans="43:53" x14ac:dyDescent="0.25">
      <c r="BA190" t="s">
        <v>291</v>
      </c>
    </row>
    <row r="191" spans="43:53" x14ac:dyDescent="0.25">
      <c r="BA191" t="s">
        <v>324</v>
      </c>
    </row>
    <row r="192" spans="43:53" x14ac:dyDescent="0.25">
      <c r="BA192" t="s">
        <v>381</v>
      </c>
    </row>
    <row r="193" spans="53:53" x14ac:dyDescent="0.25">
      <c r="BA193" t="s">
        <v>340</v>
      </c>
    </row>
    <row r="194" spans="53:53" x14ac:dyDescent="0.25">
      <c r="BA194" t="s">
        <v>382</v>
      </c>
    </row>
    <row r="195" spans="53:53" x14ac:dyDescent="0.25">
      <c r="BA195" t="s">
        <v>383</v>
      </c>
    </row>
    <row r="196" spans="53:53" x14ac:dyDescent="0.25">
      <c r="BA196" t="s">
        <v>384</v>
      </c>
    </row>
    <row r="197" spans="53:53" x14ac:dyDescent="0.25">
      <c r="BA197" t="s">
        <v>291</v>
      </c>
    </row>
    <row r="198" spans="53:53" x14ac:dyDescent="0.25">
      <c r="BA198" t="s">
        <v>385</v>
      </c>
    </row>
    <row r="199" spans="53:53" x14ac:dyDescent="0.25">
      <c r="BA199" t="s">
        <v>324</v>
      </c>
    </row>
    <row r="200" spans="53:53" x14ac:dyDescent="0.25">
      <c r="BA200" t="s">
        <v>386</v>
      </c>
    </row>
    <row r="201" spans="53:53" x14ac:dyDescent="0.25">
      <c r="BA201" t="s">
        <v>340</v>
      </c>
    </row>
    <row r="202" spans="53:53" x14ac:dyDescent="0.25">
      <c r="BA202" t="s">
        <v>387</v>
      </c>
    </row>
    <row r="203" spans="53:53" x14ac:dyDescent="0.25">
      <c r="BA203" t="s">
        <v>340</v>
      </c>
    </row>
    <row r="204" spans="53:53" x14ac:dyDescent="0.25">
      <c r="BA204" t="s">
        <v>388</v>
      </c>
    </row>
    <row r="205" spans="53:53" x14ac:dyDescent="0.25">
      <c r="BA205" t="s">
        <v>389</v>
      </c>
    </row>
    <row r="206" spans="53:53" x14ac:dyDescent="0.25">
      <c r="BA206" t="s">
        <v>359</v>
      </c>
    </row>
    <row r="207" spans="53:53" x14ac:dyDescent="0.25">
      <c r="BA207" t="s">
        <v>291</v>
      </c>
    </row>
    <row r="208" spans="53:53" x14ac:dyDescent="0.25">
      <c r="BA208" t="s">
        <v>390</v>
      </c>
    </row>
    <row r="209" spans="53:53" x14ac:dyDescent="0.25">
      <c r="BA209" t="s">
        <v>391</v>
      </c>
    </row>
    <row r="210" spans="53:53" x14ac:dyDescent="0.25">
      <c r="BA210" t="s">
        <v>392</v>
      </c>
    </row>
    <row r="211" spans="53:53" x14ac:dyDescent="0.25">
      <c r="BA211" t="s">
        <v>340</v>
      </c>
    </row>
    <row r="212" spans="53:53" x14ac:dyDescent="0.25">
      <c r="BA212" t="s">
        <v>393</v>
      </c>
    </row>
    <row r="213" spans="53:53" x14ac:dyDescent="0.25">
      <c r="BA213" t="s">
        <v>383</v>
      </c>
    </row>
    <row r="214" spans="53:53" x14ac:dyDescent="0.25">
      <c r="BA214" t="s">
        <v>394</v>
      </c>
    </row>
    <row r="215" spans="53:53" x14ac:dyDescent="0.25">
      <c r="BA215" t="s">
        <v>395</v>
      </c>
    </row>
    <row r="216" spans="53:53" x14ac:dyDescent="0.25">
      <c r="BA216" t="s">
        <v>334</v>
      </c>
    </row>
    <row r="217" spans="53:53" x14ac:dyDescent="0.25">
      <c r="BA217" t="s">
        <v>324</v>
      </c>
    </row>
    <row r="218" spans="53:53" x14ac:dyDescent="0.25">
      <c r="BA218" t="s">
        <v>396</v>
      </c>
    </row>
    <row r="219" spans="53:53" x14ac:dyDescent="0.25">
      <c r="BA219" t="s">
        <v>340</v>
      </c>
    </row>
    <row r="220" spans="53:53" x14ac:dyDescent="0.25">
      <c r="BA220" t="s">
        <v>397</v>
      </c>
    </row>
    <row r="221" spans="53:53" x14ac:dyDescent="0.25">
      <c r="BA221" t="s">
        <v>340</v>
      </c>
    </row>
    <row r="222" spans="53:53" x14ac:dyDescent="0.25">
      <c r="BA222" t="s">
        <v>398</v>
      </c>
    </row>
    <row r="223" spans="53:53" x14ac:dyDescent="0.25">
      <c r="BA223" t="s">
        <v>340</v>
      </c>
    </row>
    <row r="224" spans="53:53" x14ac:dyDescent="0.25">
      <c r="BA224" t="s">
        <v>344</v>
      </c>
    </row>
    <row r="225" spans="53:53" x14ac:dyDescent="0.25">
      <c r="BA225" t="s">
        <v>399</v>
      </c>
    </row>
    <row r="226" spans="53:53" x14ac:dyDescent="0.25">
      <c r="BA226" t="s">
        <v>400</v>
      </c>
    </row>
    <row r="227" spans="53:53" x14ac:dyDescent="0.25">
      <c r="BA227" t="s">
        <v>401</v>
      </c>
    </row>
    <row r="228" spans="53:53" x14ac:dyDescent="0.25">
      <c r="BA228" t="s">
        <v>328</v>
      </c>
    </row>
    <row r="229" spans="53:53" x14ac:dyDescent="0.25">
      <c r="BA229" t="s">
        <v>402</v>
      </c>
    </row>
    <row r="230" spans="53:53" x14ac:dyDescent="0.25">
      <c r="BA230" t="s">
        <v>403</v>
      </c>
    </row>
    <row r="231" spans="53:53" x14ac:dyDescent="0.25">
      <c r="BA231" t="s">
        <v>404</v>
      </c>
    </row>
    <row r="232" spans="53:53" x14ac:dyDescent="0.25">
      <c r="BA232" t="s">
        <v>180</v>
      </c>
    </row>
    <row r="233" spans="53:53" x14ac:dyDescent="0.25">
      <c r="BA233" t="s">
        <v>405</v>
      </c>
    </row>
    <row r="234" spans="53:53" x14ac:dyDescent="0.25">
      <c r="BA234" t="s">
        <v>313</v>
      </c>
    </row>
    <row r="235" spans="53:53" x14ac:dyDescent="0.25">
      <c r="BA235" t="s">
        <v>406</v>
      </c>
    </row>
    <row r="236" spans="53:53" x14ac:dyDescent="0.25">
      <c r="BA236" t="s">
        <v>407</v>
      </c>
    </row>
    <row r="237" spans="53:53" x14ac:dyDescent="0.25">
      <c r="BA237" t="s">
        <v>321</v>
      </c>
    </row>
    <row r="238" spans="53:53" x14ac:dyDescent="0.25">
      <c r="BA238" t="s">
        <v>320</v>
      </c>
    </row>
    <row r="239" spans="53:53" x14ac:dyDescent="0.25">
      <c r="BA239" t="s">
        <v>322</v>
      </c>
    </row>
    <row r="240" spans="53:53" x14ac:dyDescent="0.25">
      <c r="BA240" t="s">
        <v>323</v>
      </c>
    </row>
    <row r="241" spans="53:53" x14ac:dyDescent="0.25">
      <c r="BA241" t="s">
        <v>408</v>
      </c>
    </row>
    <row r="242" spans="53:53" x14ac:dyDescent="0.25">
      <c r="BA242" t="s">
        <v>313</v>
      </c>
    </row>
    <row r="243" spans="53:53" x14ac:dyDescent="0.25">
      <c r="BA243" t="s">
        <v>409</v>
      </c>
    </row>
    <row r="244" spans="53:53" x14ac:dyDescent="0.25">
      <c r="BA244" t="s">
        <v>340</v>
      </c>
    </row>
    <row r="245" spans="53:53" x14ac:dyDescent="0.25">
      <c r="BA245" t="s">
        <v>410</v>
      </c>
    </row>
    <row r="246" spans="53:53" x14ac:dyDescent="0.25">
      <c r="BA246" t="s">
        <v>340</v>
      </c>
    </row>
    <row r="247" spans="53:53" x14ac:dyDescent="0.25">
      <c r="BA247" t="s">
        <v>411</v>
      </c>
    </row>
    <row r="248" spans="53:53" x14ac:dyDescent="0.25">
      <c r="BA248" t="s">
        <v>412</v>
      </c>
    </row>
    <row r="249" spans="53:53" x14ac:dyDescent="0.25">
      <c r="BA249" t="s">
        <v>413</v>
      </c>
    </row>
    <row r="250" spans="53:53" x14ac:dyDescent="0.25">
      <c r="BA250" t="s">
        <v>341</v>
      </c>
    </row>
    <row r="251" spans="53:53" x14ac:dyDescent="0.25">
      <c r="BA251" t="s">
        <v>291</v>
      </c>
    </row>
    <row r="252" spans="53:53" x14ac:dyDescent="0.25">
      <c r="BA252" t="s">
        <v>324</v>
      </c>
    </row>
    <row r="253" spans="53:53" x14ac:dyDescent="0.25">
      <c r="BA253" t="s">
        <v>390</v>
      </c>
    </row>
    <row r="254" spans="53:53" x14ac:dyDescent="0.25">
      <c r="BA254" t="s">
        <v>340</v>
      </c>
    </row>
    <row r="255" spans="53:53" x14ac:dyDescent="0.25">
      <c r="BA255" t="s">
        <v>414</v>
      </c>
    </row>
    <row r="256" spans="53:53" x14ac:dyDescent="0.25">
      <c r="BA256" t="s">
        <v>340</v>
      </c>
    </row>
    <row r="257" spans="53:53" x14ac:dyDescent="0.25">
      <c r="BA257" t="s">
        <v>415</v>
      </c>
    </row>
    <row r="258" spans="53:53" x14ac:dyDescent="0.25">
      <c r="BA258" t="s">
        <v>340</v>
      </c>
    </row>
    <row r="259" spans="53:53" x14ac:dyDescent="0.25">
      <c r="BA259" t="s">
        <v>416</v>
      </c>
    </row>
    <row r="260" spans="53:53" x14ac:dyDescent="0.25">
      <c r="BA260" t="s">
        <v>340</v>
      </c>
    </row>
    <row r="261" spans="53:53" x14ac:dyDescent="0.25">
      <c r="BA261" t="s">
        <v>417</v>
      </c>
    </row>
    <row r="262" spans="53:53" x14ac:dyDescent="0.25">
      <c r="BA262" t="s">
        <v>383</v>
      </c>
    </row>
    <row r="263" spans="53:53" x14ac:dyDescent="0.25">
      <c r="BA263" t="s">
        <v>344</v>
      </c>
    </row>
    <row r="264" spans="53:53" x14ac:dyDescent="0.25">
      <c r="BA264" t="s">
        <v>418</v>
      </c>
    </row>
    <row r="265" spans="53:53" x14ac:dyDescent="0.25">
      <c r="BA265" t="s">
        <v>324</v>
      </c>
    </row>
    <row r="266" spans="53:53" x14ac:dyDescent="0.25">
      <c r="BA266" t="s">
        <v>419</v>
      </c>
    </row>
    <row r="267" spans="53:53" x14ac:dyDescent="0.25">
      <c r="BA267" t="s">
        <v>340</v>
      </c>
    </row>
    <row r="268" spans="53:53" x14ac:dyDescent="0.25">
      <c r="BA268" t="s">
        <v>420</v>
      </c>
    </row>
    <row r="269" spans="53:53" x14ac:dyDescent="0.25">
      <c r="BA269" t="s">
        <v>340</v>
      </c>
    </row>
    <row r="270" spans="53:53" x14ac:dyDescent="0.25">
      <c r="BA270" t="s">
        <v>421</v>
      </c>
    </row>
    <row r="271" spans="53:53" x14ac:dyDescent="0.25">
      <c r="BA271" t="s">
        <v>340</v>
      </c>
    </row>
    <row r="272" spans="53:53" x14ac:dyDescent="0.25">
      <c r="BA272" t="s">
        <v>422</v>
      </c>
    </row>
    <row r="273" spans="53:53" x14ac:dyDescent="0.25">
      <c r="BA273" t="s">
        <v>340</v>
      </c>
    </row>
    <row r="274" spans="53:53" x14ac:dyDescent="0.25">
      <c r="BA274" t="s">
        <v>423</v>
      </c>
    </row>
    <row r="275" spans="53:53" x14ac:dyDescent="0.25">
      <c r="BA275" t="s">
        <v>340</v>
      </c>
    </row>
    <row r="276" spans="53:53" x14ac:dyDescent="0.25">
      <c r="BA276" t="s">
        <v>424</v>
      </c>
    </row>
    <row r="277" spans="53:53" x14ac:dyDescent="0.25">
      <c r="BA277" t="s">
        <v>340</v>
      </c>
    </row>
    <row r="278" spans="53:53" x14ac:dyDescent="0.25">
      <c r="BA278" t="s">
        <v>425</v>
      </c>
    </row>
    <row r="279" spans="53:53" x14ac:dyDescent="0.25">
      <c r="BA279" t="s">
        <v>383</v>
      </c>
    </row>
    <row r="280" spans="53:53" x14ac:dyDescent="0.25">
      <c r="BA280" t="s">
        <v>348</v>
      </c>
    </row>
    <row r="281" spans="53:53" x14ac:dyDescent="0.25">
      <c r="BA281" t="s">
        <v>328</v>
      </c>
    </row>
    <row r="282" spans="53:53" x14ac:dyDescent="0.25">
      <c r="BA282" t="s">
        <v>426</v>
      </c>
    </row>
    <row r="283" spans="53:53" x14ac:dyDescent="0.25">
      <c r="BA283" t="s">
        <v>427</v>
      </c>
    </row>
    <row r="284" spans="53:53" x14ac:dyDescent="0.25">
      <c r="BA284" t="s">
        <v>181</v>
      </c>
    </row>
    <row r="285" spans="53:53" x14ac:dyDescent="0.25">
      <c r="BA285" t="s">
        <v>428</v>
      </c>
    </row>
    <row r="286" spans="53:53" x14ac:dyDescent="0.25">
      <c r="BA286" t="s">
        <v>291</v>
      </c>
    </row>
    <row r="287" spans="53:53" x14ac:dyDescent="0.25">
      <c r="BA287" t="s">
        <v>429</v>
      </c>
    </row>
    <row r="288" spans="53:53" x14ac:dyDescent="0.25">
      <c r="BA288" t="s">
        <v>430</v>
      </c>
    </row>
    <row r="289" spans="53:53" x14ac:dyDescent="0.25">
      <c r="BA289" t="s">
        <v>431</v>
      </c>
    </row>
    <row r="290" spans="53:53" x14ac:dyDescent="0.25">
      <c r="BA290" t="s">
        <v>432</v>
      </c>
    </row>
    <row r="291" spans="53:53" x14ac:dyDescent="0.25">
      <c r="BA291" t="s">
        <v>433</v>
      </c>
    </row>
    <row r="292" spans="53:53" x14ac:dyDescent="0.25">
      <c r="BA292" t="s">
        <v>434</v>
      </c>
    </row>
    <row r="293" spans="53:53" x14ac:dyDescent="0.25">
      <c r="BA293" t="s">
        <v>435</v>
      </c>
    </row>
    <row r="294" spans="53:53" x14ac:dyDescent="0.25">
      <c r="BA294" t="s">
        <v>436</v>
      </c>
    </row>
    <row r="295" spans="53:53" x14ac:dyDescent="0.25">
      <c r="BA295" t="s">
        <v>437</v>
      </c>
    </row>
    <row r="296" spans="53:53" x14ac:dyDescent="0.25">
      <c r="BA296" t="s">
        <v>182</v>
      </c>
    </row>
    <row r="297" spans="53:53" x14ac:dyDescent="0.25">
      <c r="BA297" t="s">
        <v>438</v>
      </c>
    </row>
    <row r="298" spans="53:53" x14ac:dyDescent="0.25">
      <c r="BA298" t="s">
        <v>291</v>
      </c>
    </row>
    <row r="299" spans="53:53" x14ac:dyDescent="0.25">
      <c r="BA299" t="s">
        <v>321</v>
      </c>
    </row>
    <row r="300" spans="53:53" x14ac:dyDescent="0.25">
      <c r="BA300" t="s">
        <v>320</v>
      </c>
    </row>
    <row r="301" spans="53:53" x14ac:dyDescent="0.25">
      <c r="BA301" t="s">
        <v>322</v>
      </c>
    </row>
    <row r="302" spans="53:53" x14ac:dyDescent="0.25">
      <c r="BA302" t="s">
        <v>323</v>
      </c>
    </row>
    <row r="303" spans="53:53" x14ac:dyDescent="0.25">
      <c r="BA303" t="s">
        <v>439</v>
      </c>
    </row>
    <row r="304" spans="53:53" x14ac:dyDescent="0.25">
      <c r="BA304" t="s">
        <v>440</v>
      </c>
    </row>
    <row r="305" spans="53:53" x14ac:dyDescent="0.25">
      <c r="BA305" t="s">
        <v>441</v>
      </c>
    </row>
    <row r="306" spans="53:53" x14ac:dyDescent="0.25">
      <c r="BA306" t="s">
        <v>442</v>
      </c>
    </row>
    <row r="307" spans="53:53" x14ac:dyDescent="0.25">
      <c r="BA307" t="s">
        <v>348</v>
      </c>
    </row>
    <row r="308" spans="53:53" x14ac:dyDescent="0.25">
      <c r="BA308" t="s">
        <v>328</v>
      </c>
    </row>
    <row r="309" spans="53:53" x14ac:dyDescent="0.25">
      <c r="BA309" t="s">
        <v>349</v>
      </c>
    </row>
    <row r="310" spans="53:53" x14ac:dyDescent="0.25">
      <c r="BA310" t="s">
        <v>350</v>
      </c>
    </row>
    <row r="311" spans="53:53" x14ac:dyDescent="0.25">
      <c r="BA311" t="s">
        <v>183</v>
      </c>
    </row>
    <row r="312" spans="53:53" x14ac:dyDescent="0.25">
      <c r="BA312" t="s">
        <v>443</v>
      </c>
    </row>
    <row r="313" spans="53:53" x14ac:dyDescent="0.25">
      <c r="BA313" t="s">
        <v>291</v>
      </c>
    </row>
    <row r="314" spans="53:53" x14ac:dyDescent="0.25">
      <c r="BA314" t="s">
        <v>321</v>
      </c>
    </row>
    <row r="315" spans="53:53" x14ac:dyDescent="0.25">
      <c r="BA315" t="s">
        <v>320</v>
      </c>
    </row>
    <row r="316" spans="53:53" x14ac:dyDescent="0.25">
      <c r="BA316" t="s">
        <v>322</v>
      </c>
    </row>
    <row r="317" spans="53:53" x14ac:dyDescent="0.25">
      <c r="BA317" t="s">
        <v>323</v>
      </c>
    </row>
    <row r="318" spans="53:53" x14ac:dyDescent="0.25">
      <c r="BA318" t="s">
        <v>439</v>
      </c>
    </row>
    <row r="319" spans="53:53" x14ac:dyDescent="0.25">
      <c r="BA319" t="s">
        <v>444</v>
      </c>
    </row>
    <row r="320" spans="53:53" x14ac:dyDescent="0.25">
      <c r="BA320" t="s">
        <v>445</v>
      </c>
    </row>
    <row r="321" spans="53:53" x14ac:dyDescent="0.25">
      <c r="BA321" t="s">
        <v>384</v>
      </c>
    </row>
    <row r="322" spans="53:53" x14ac:dyDescent="0.25">
      <c r="BA322" t="s">
        <v>313</v>
      </c>
    </row>
    <row r="323" spans="53:53" x14ac:dyDescent="0.25">
      <c r="BA323" t="s">
        <v>446</v>
      </c>
    </row>
    <row r="324" spans="53:53" x14ac:dyDescent="0.25">
      <c r="BA324" t="s">
        <v>447</v>
      </c>
    </row>
    <row r="325" spans="53:53" x14ac:dyDescent="0.25">
      <c r="BA325" t="s">
        <v>448</v>
      </c>
    </row>
    <row r="326" spans="53:53" x14ac:dyDescent="0.25">
      <c r="BA326" t="s">
        <v>328</v>
      </c>
    </row>
    <row r="327" spans="53:53" x14ac:dyDescent="0.25">
      <c r="BA327" t="s">
        <v>349</v>
      </c>
    </row>
    <row r="328" spans="53:53" x14ac:dyDescent="0.25">
      <c r="BA328" t="s">
        <v>378</v>
      </c>
    </row>
    <row r="329" spans="53:53" x14ac:dyDescent="0.25">
      <c r="BA329" t="s">
        <v>184</v>
      </c>
    </row>
    <row r="330" spans="53:53" x14ac:dyDescent="0.25">
      <c r="BA330" t="s">
        <v>449</v>
      </c>
    </row>
    <row r="331" spans="53:53" x14ac:dyDescent="0.25">
      <c r="BA331" t="s">
        <v>291</v>
      </c>
    </row>
    <row r="332" spans="53:53" x14ac:dyDescent="0.25">
      <c r="BA332" t="s">
        <v>321</v>
      </c>
    </row>
    <row r="333" spans="53:53" x14ac:dyDescent="0.25">
      <c r="BA333" t="s">
        <v>320</v>
      </c>
    </row>
    <row r="334" spans="53:53" x14ac:dyDescent="0.25">
      <c r="BA334" t="s">
        <v>450</v>
      </c>
    </row>
    <row r="335" spans="53:53" x14ac:dyDescent="0.25">
      <c r="BA335" t="s">
        <v>451</v>
      </c>
    </row>
    <row r="336" spans="53:53" x14ac:dyDescent="0.25">
      <c r="BA336" t="s">
        <v>452</v>
      </c>
    </row>
    <row r="337" spans="53:53" x14ac:dyDescent="0.25">
      <c r="BA337" t="s">
        <v>322</v>
      </c>
    </row>
    <row r="338" spans="53:53" x14ac:dyDescent="0.25">
      <c r="BA338" t="s">
        <v>323</v>
      </c>
    </row>
    <row r="339" spans="53:53" x14ac:dyDescent="0.25">
      <c r="BA339" t="s">
        <v>453</v>
      </c>
    </row>
    <row r="340" spans="53:53" x14ac:dyDescent="0.25">
      <c r="BA340" t="s">
        <v>454</v>
      </c>
    </row>
    <row r="341" spans="53:53" x14ac:dyDescent="0.25">
      <c r="BA341" t="s">
        <v>455</v>
      </c>
    </row>
    <row r="342" spans="53:53" x14ac:dyDescent="0.25">
      <c r="BA342" t="s">
        <v>456</v>
      </c>
    </row>
    <row r="343" spans="53:53" x14ac:dyDescent="0.25">
      <c r="BA343" t="s">
        <v>457</v>
      </c>
    </row>
    <row r="344" spans="53:53" x14ac:dyDescent="0.25">
      <c r="BA344" t="s">
        <v>458</v>
      </c>
    </row>
    <row r="345" spans="53:53" x14ac:dyDescent="0.25">
      <c r="BA345" t="s">
        <v>459</v>
      </c>
    </row>
    <row r="346" spans="53:53" x14ac:dyDescent="0.25">
      <c r="BA346" t="s">
        <v>460</v>
      </c>
    </row>
    <row r="347" spans="53:53" x14ac:dyDescent="0.25">
      <c r="BA347" t="s">
        <v>313</v>
      </c>
    </row>
    <row r="348" spans="53:53" x14ac:dyDescent="0.25">
      <c r="BA348" t="s">
        <v>461</v>
      </c>
    </row>
    <row r="349" spans="53:53" x14ac:dyDescent="0.25">
      <c r="BA349" t="s">
        <v>462</v>
      </c>
    </row>
    <row r="350" spans="53:53" x14ac:dyDescent="0.25">
      <c r="BA350" t="s">
        <v>364</v>
      </c>
    </row>
    <row r="351" spans="53:53" x14ac:dyDescent="0.25">
      <c r="BA351" t="s">
        <v>291</v>
      </c>
    </row>
    <row r="352" spans="53:53" x14ac:dyDescent="0.25">
      <c r="BA352" t="s">
        <v>463</v>
      </c>
    </row>
    <row r="353" spans="53:53" x14ac:dyDescent="0.25">
      <c r="BA353" t="s">
        <v>464</v>
      </c>
    </row>
    <row r="354" spans="53:53" x14ac:dyDescent="0.25">
      <c r="BA354" t="s">
        <v>465</v>
      </c>
    </row>
    <row r="355" spans="53:53" x14ac:dyDescent="0.25">
      <c r="BA355" t="s">
        <v>291</v>
      </c>
    </row>
    <row r="356" spans="53:53" x14ac:dyDescent="0.25">
      <c r="BA356" t="s">
        <v>466</v>
      </c>
    </row>
    <row r="357" spans="53:53" x14ac:dyDescent="0.25">
      <c r="BA357" t="s">
        <v>467</v>
      </c>
    </row>
    <row r="358" spans="53:53" x14ac:dyDescent="0.25">
      <c r="BA358" t="s">
        <v>468</v>
      </c>
    </row>
    <row r="359" spans="53:53" x14ac:dyDescent="0.25">
      <c r="BA359" t="s">
        <v>469</v>
      </c>
    </row>
    <row r="360" spans="53:53" x14ac:dyDescent="0.25">
      <c r="BA360" t="s">
        <v>470</v>
      </c>
    </row>
    <row r="361" spans="53:53" x14ac:dyDescent="0.25">
      <c r="BA361" t="s">
        <v>328</v>
      </c>
    </row>
    <row r="362" spans="53:53" x14ac:dyDescent="0.25">
      <c r="BA362" t="s">
        <v>471</v>
      </c>
    </row>
    <row r="363" spans="53:53" x14ac:dyDescent="0.25">
      <c r="BA363" t="s">
        <v>472</v>
      </c>
    </row>
    <row r="364" spans="53:53" x14ac:dyDescent="0.25">
      <c r="BA364" t="s">
        <v>185</v>
      </c>
    </row>
    <row r="365" spans="53:53" x14ac:dyDescent="0.25">
      <c r="BA365" t="s">
        <v>473</v>
      </c>
    </row>
    <row r="366" spans="53:53" x14ac:dyDescent="0.25">
      <c r="BA366" t="s">
        <v>291</v>
      </c>
    </row>
    <row r="367" spans="53:53" x14ac:dyDescent="0.25">
      <c r="BA367" t="s">
        <v>321</v>
      </c>
    </row>
    <row r="368" spans="53:53" x14ac:dyDescent="0.25">
      <c r="BA368" t="s">
        <v>320</v>
      </c>
    </row>
    <row r="369" spans="53:53" x14ac:dyDescent="0.25">
      <c r="BA369" t="s">
        <v>322</v>
      </c>
    </row>
    <row r="370" spans="53:53" x14ac:dyDescent="0.25">
      <c r="BA370" t="s">
        <v>323</v>
      </c>
    </row>
    <row r="371" spans="53:53" x14ac:dyDescent="0.25">
      <c r="BA371" t="s">
        <v>474</v>
      </c>
    </row>
    <row r="372" spans="53:53" x14ac:dyDescent="0.25">
      <c r="BA372" t="s">
        <v>475</v>
      </c>
    </row>
    <row r="373" spans="53:53" x14ac:dyDescent="0.25">
      <c r="BA373" t="s">
        <v>439</v>
      </c>
    </row>
    <row r="374" spans="53:53" x14ac:dyDescent="0.25">
      <c r="BA374" t="s">
        <v>476</v>
      </c>
    </row>
    <row r="375" spans="53:53" x14ac:dyDescent="0.25">
      <c r="BA375" t="s">
        <v>477</v>
      </c>
    </row>
    <row r="376" spans="53:53" x14ac:dyDescent="0.25">
      <c r="BA376" t="s">
        <v>478</v>
      </c>
    </row>
    <row r="377" spans="53:53" x14ac:dyDescent="0.25">
      <c r="BA377" t="s">
        <v>380</v>
      </c>
    </row>
    <row r="378" spans="53:53" x14ac:dyDescent="0.25">
      <c r="BA378" t="s">
        <v>291</v>
      </c>
    </row>
    <row r="379" spans="53:53" x14ac:dyDescent="0.25">
      <c r="BA379" t="s">
        <v>479</v>
      </c>
    </row>
    <row r="380" spans="53:53" x14ac:dyDescent="0.25">
      <c r="BA380" t="s">
        <v>462</v>
      </c>
    </row>
    <row r="381" spans="53:53" x14ac:dyDescent="0.25">
      <c r="BA381" t="s">
        <v>480</v>
      </c>
    </row>
    <row r="382" spans="53:53" x14ac:dyDescent="0.25">
      <c r="BA382" t="s">
        <v>481</v>
      </c>
    </row>
    <row r="383" spans="53:53" x14ac:dyDescent="0.25">
      <c r="BA383" t="s">
        <v>364</v>
      </c>
    </row>
    <row r="384" spans="53:53" x14ac:dyDescent="0.25">
      <c r="BA384" t="s">
        <v>291</v>
      </c>
    </row>
    <row r="385" spans="53:53" x14ac:dyDescent="0.25">
      <c r="BA385" t="s">
        <v>482</v>
      </c>
    </row>
    <row r="386" spans="53:53" x14ac:dyDescent="0.25">
      <c r="BA386" t="s">
        <v>483</v>
      </c>
    </row>
    <row r="387" spans="53:53" x14ac:dyDescent="0.25">
      <c r="BA387" t="s">
        <v>465</v>
      </c>
    </row>
    <row r="388" spans="53:53" x14ac:dyDescent="0.25">
      <c r="BA388" t="s">
        <v>291</v>
      </c>
    </row>
    <row r="389" spans="53:53" x14ac:dyDescent="0.25">
      <c r="BA389" t="s">
        <v>484</v>
      </c>
    </row>
    <row r="390" spans="53:53" x14ac:dyDescent="0.25">
      <c r="BA390" t="s">
        <v>485</v>
      </c>
    </row>
    <row r="391" spans="53:53" x14ac:dyDescent="0.25">
      <c r="BA391" t="s">
        <v>470</v>
      </c>
    </row>
    <row r="392" spans="53:53" x14ac:dyDescent="0.25">
      <c r="BA392" t="s">
        <v>328</v>
      </c>
    </row>
    <row r="393" spans="53:53" x14ac:dyDescent="0.25">
      <c r="BA393" t="s">
        <v>471</v>
      </c>
    </row>
    <row r="394" spans="53:53" x14ac:dyDescent="0.25">
      <c r="BA394" t="s">
        <v>486</v>
      </c>
    </row>
    <row r="395" spans="53:53" x14ac:dyDescent="0.25">
      <c r="BA395" t="s">
        <v>186</v>
      </c>
    </row>
    <row r="396" spans="53:53" x14ac:dyDescent="0.25">
      <c r="BA396" t="s">
        <v>487</v>
      </c>
    </row>
    <row r="397" spans="53:53" x14ac:dyDescent="0.25">
      <c r="BA397" t="s">
        <v>488</v>
      </c>
    </row>
    <row r="398" spans="53:53" x14ac:dyDescent="0.25">
      <c r="BA398" t="s">
        <v>489</v>
      </c>
    </row>
    <row r="399" spans="53:53" x14ac:dyDescent="0.25">
      <c r="BA399" t="s">
        <v>490</v>
      </c>
    </row>
    <row r="400" spans="53:53" x14ac:dyDescent="0.25">
      <c r="BA400" t="s">
        <v>491</v>
      </c>
    </row>
    <row r="401" spans="53:53" x14ac:dyDescent="0.25">
      <c r="BA401" t="s">
        <v>492</v>
      </c>
    </row>
    <row r="402" spans="53:53" x14ac:dyDescent="0.25">
      <c r="BA402" t="s">
        <v>493</v>
      </c>
    </row>
    <row r="403" spans="53:53" x14ac:dyDescent="0.25">
      <c r="BA403" t="s">
        <v>494</v>
      </c>
    </row>
    <row r="404" spans="53:53" x14ac:dyDescent="0.25">
      <c r="BA404" t="s">
        <v>495</v>
      </c>
    </row>
    <row r="405" spans="53:53" x14ac:dyDescent="0.25">
      <c r="BA405" t="s">
        <v>496</v>
      </c>
    </row>
    <row r="406" spans="53:53" x14ac:dyDescent="0.25">
      <c r="BA406" t="s">
        <v>497</v>
      </c>
    </row>
    <row r="407" spans="53:53" x14ac:dyDescent="0.25">
      <c r="BA407" t="s">
        <v>498</v>
      </c>
    </row>
    <row r="408" spans="53:53" x14ac:dyDescent="0.25">
      <c r="BA408" t="s">
        <v>499</v>
      </c>
    </row>
    <row r="409" spans="53:53" x14ac:dyDescent="0.25">
      <c r="BA409" t="s">
        <v>187</v>
      </c>
    </row>
    <row r="410" spans="53:53" x14ac:dyDescent="0.25">
      <c r="BA410" t="s">
        <v>500</v>
      </c>
    </row>
    <row r="411" spans="53:53" x14ac:dyDescent="0.25">
      <c r="BA411" t="s">
        <v>501</v>
      </c>
    </row>
    <row r="412" spans="53:53" x14ac:dyDescent="0.25">
      <c r="BA412" t="s">
        <v>291</v>
      </c>
    </row>
    <row r="413" spans="53:53" x14ac:dyDescent="0.25">
      <c r="BA413" t="s">
        <v>502</v>
      </c>
    </row>
    <row r="414" spans="53:53" x14ac:dyDescent="0.25">
      <c r="BA414" t="s">
        <v>503</v>
      </c>
    </row>
    <row r="415" spans="53:53" x14ac:dyDescent="0.25">
      <c r="BA415" t="s">
        <v>504</v>
      </c>
    </row>
    <row r="416" spans="53:53" x14ac:dyDescent="0.25">
      <c r="BA416" t="s">
        <v>505</v>
      </c>
    </row>
    <row r="417" spans="53:53" x14ac:dyDescent="0.25">
      <c r="BA417" t="s">
        <v>506</v>
      </c>
    </row>
    <row r="418" spans="53:53" x14ac:dyDescent="0.25">
      <c r="BA418" t="s">
        <v>507</v>
      </c>
    </row>
    <row r="419" spans="53:53" x14ac:dyDescent="0.25">
      <c r="BA419" t="s">
        <v>291</v>
      </c>
    </row>
    <row r="420" spans="53:53" x14ac:dyDescent="0.25">
      <c r="BA420" t="s">
        <v>508</v>
      </c>
    </row>
    <row r="421" spans="53:53" x14ac:dyDescent="0.25">
      <c r="BA421" t="s">
        <v>509</v>
      </c>
    </row>
    <row r="422" spans="53:53" x14ac:dyDescent="0.25">
      <c r="BA422" t="s">
        <v>510</v>
      </c>
    </row>
    <row r="423" spans="53:53" x14ac:dyDescent="0.25">
      <c r="BA423" t="s">
        <v>291</v>
      </c>
    </row>
    <row r="424" spans="53:53" x14ac:dyDescent="0.25">
      <c r="BA424" t="s">
        <v>511</v>
      </c>
    </row>
    <row r="425" spans="53:53" x14ac:dyDescent="0.25">
      <c r="BA425" t="s">
        <v>512</v>
      </c>
    </row>
    <row r="426" spans="53:53" x14ac:dyDescent="0.25">
      <c r="BA426" t="s">
        <v>513</v>
      </c>
    </row>
    <row r="427" spans="53:53" x14ac:dyDescent="0.25">
      <c r="BA427" t="s">
        <v>514</v>
      </c>
    </row>
    <row r="428" spans="53:53" x14ac:dyDescent="0.25">
      <c r="BA428" t="s">
        <v>515</v>
      </c>
    </row>
    <row r="429" spans="53:53" x14ac:dyDescent="0.25">
      <c r="BA429" t="s">
        <v>188</v>
      </c>
    </row>
    <row r="430" spans="53:53" x14ac:dyDescent="0.25">
      <c r="BA430" t="s">
        <v>516</v>
      </c>
    </row>
    <row r="431" spans="53:53" x14ac:dyDescent="0.25">
      <c r="BA431" t="s">
        <v>517</v>
      </c>
    </row>
    <row r="432" spans="53:53" x14ac:dyDescent="0.25">
      <c r="BA432" t="s">
        <v>518</v>
      </c>
    </row>
    <row r="433" spans="53:53" x14ac:dyDescent="0.25">
      <c r="BA433" t="s">
        <v>519</v>
      </c>
    </row>
    <row r="434" spans="53:53" x14ac:dyDescent="0.25">
      <c r="BA434" t="s">
        <v>520</v>
      </c>
    </row>
    <row r="435" spans="53:53" x14ac:dyDescent="0.25">
      <c r="BA435" t="s">
        <v>521</v>
      </c>
    </row>
    <row r="436" spans="53:53" x14ac:dyDescent="0.25">
      <c r="BA436" t="s">
        <v>522</v>
      </c>
    </row>
    <row r="437" spans="53:53" x14ac:dyDescent="0.25">
      <c r="BA437" t="s">
        <v>523</v>
      </c>
    </row>
    <row r="438" spans="53:53" x14ac:dyDescent="0.25">
      <c r="BA438" t="s">
        <v>106</v>
      </c>
    </row>
    <row r="439" spans="53:53" x14ac:dyDescent="0.25">
      <c r="BA439" t="s">
        <v>524</v>
      </c>
    </row>
    <row r="440" spans="53:53" x14ac:dyDescent="0.25">
      <c r="BA440" t="s">
        <v>108</v>
      </c>
    </row>
    <row r="441" spans="53:53" x14ac:dyDescent="0.25">
      <c r="BA441" t="s">
        <v>525</v>
      </c>
    </row>
    <row r="442" spans="53:53" x14ac:dyDescent="0.25">
      <c r="BA442" t="s">
        <v>526</v>
      </c>
    </row>
    <row r="443" spans="53:53" x14ac:dyDescent="0.25">
      <c r="BA443" t="s">
        <v>291</v>
      </c>
    </row>
    <row r="444" spans="53:53" x14ac:dyDescent="0.25">
      <c r="BA444" t="s">
        <v>527</v>
      </c>
    </row>
    <row r="445" spans="53:53" x14ac:dyDescent="0.25">
      <c r="BA445" t="s">
        <v>528</v>
      </c>
    </row>
    <row r="446" spans="53:53" x14ac:dyDescent="0.25">
      <c r="BA446" t="s">
        <v>529</v>
      </c>
    </row>
    <row r="447" spans="53:53" x14ac:dyDescent="0.25">
      <c r="BA447" t="s">
        <v>530</v>
      </c>
    </row>
    <row r="448" spans="53:53" x14ac:dyDescent="0.25">
      <c r="BA448" t="s">
        <v>531</v>
      </c>
    </row>
    <row r="449" spans="53:53" x14ac:dyDescent="0.25">
      <c r="BA449" t="s">
        <v>532</v>
      </c>
    </row>
    <row r="450" spans="53:53" x14ac:dyDescent="0.25">
      <c r="BA450" t="s">
        <v>533</v>
      </c>
    </row>
    <row r="451" spans="53:53" x14ac:dyDescent="0.25">
      <c r="BA451" t="s">
        <v>534</v>
      </c>
    </row>
    <row r="452" spans="53:53" x14ac:dyDescent="0.25">
      <c r="BA452" t="s">
        <v>535</v>
      </c>
    </row>
    <row r="453" spans="53:53" x14ac:dyDescent="0.25">
      <c r="BA453" t="s">
        <v>536</v>
      </c>
    </row>
    <row r="454" spans="53:53" x14ac:dyDescent="0.25">
      <c r="BA454" t="s">
        <v>537</v>
      </c>
    </row>
    <row r="455" spans="53:53" x14ac:dyDescent="0.25">
      <c r="BA455" t="s">
        <v>538</v>
      </c>
    </row>
    <row r="456" spans="53:53" x14ac:dyDescent="0.25">
      <c r="BA456" t="s">
        <v>539</v>
      </c>
    </row>
    <row r="457" spans="53:53" x14ac:dyDescent="0.25">
      <c r="BA457" t="s">
        <v>540</v>
      </c>
    </row>
    <row r="458" spans="53:53" x14ac:dyDescent="0.25">
      <c r="BA458" t="s">
        <v>541</v>
      </c>
    </row>
    <row r="459" spans="53:53" x14ac:dyDescent="0.25">
      <c r="BA459" t="s">
        <v>542</v>
      </c>
    </row>
    <row r="460" spans="53:53" x14ac:dyDescent="0.25">
      <c r="BA460" t="s">
        <v>543</v>
      </c>
    </row>
    <row r="461" spans="53:53" x14ac:dyDescent="0.25">
      <c r="BA461" t="s">
        <v>544</v>
      </c>
    </row>
    <row r="462" spans="53:53" x14ac:dyDescent="0.25">
      <c r="BA462" t="s">
        <v>517</v>
      </c>
    </row>
    <row r="463" spans="53:53" x14ac:dyDescent="0.25">
      <c r="BA463" t="s">
        <v>545</v>
      </c>
    </row>
    <row r="464" spans="53:53" x14ac:dyDescent="0.25">
      <c r="BA464" t="s">
        <v>546</v>
      </c>
    </row>
    <row r="465" spans="53:53" x14ac:dyDescent="0.25">
      <c r="BA465" t="s">
        <v>547</v>
      </c>
    </row>
    <row r="466" spans="53:53" x14ac:dyDescent="0.25">
      <c r="BA466" t="s">
        <v>548</v>
      </c>
    </row>
    <row r="467" spans="53:53" x14ac:dyDescent="0.25">
      <c r="BA467" t="s">
        <v>549</v>
      </c>
    </row>
    <row r="468" spans="53:53" x14ac:dyDescent="0.25">
      <c r="BA468" t="s">
        <v>550</v>
      </c>
    </row>
    <row r="469" spans="53:53" x14ac:dyDescent="0.25">
      <c r="BA469" t="s">
        <v>551</v>
      </c>
    </row>
    <row r="470" spans="53:53" x14ac:dyDescent="0.25">
      <c r="BA470" t="s">
        <v>552</v>
      </c>
    </row>
    <row r="471" spans="53:53" x14ac:dyDescent="0.25">
      <c r="BA471" t="s">
        <v>553</v>
      </c>
    </row>
    <row r="472" spans="53:53" x14ac:dyDescent="0.25">
      <c r="BA472" t="s">
        <v>291</v>
      </c>
    </row>
    <row r="473" spans="53:53" x14ac:dyDescent="0.25">
      <c r="BA473" t="s">
        <v>538</v>
      </c>
    </row>
    <row r="474" spans="53:53" x14ac:dyDescent="0.25">
      <c r="BA474" t="s">
        <v>554</v>
      </c>
    </row>
    <row r="475" spans="53:53" x14ac:dyDescent="0.25">
      <c r="BA475" t="s">
        <v>555</v>
      </c>
    </row>
    <row r="476" spans="53:53" x14ac:dyDescent="0.25">
      <c r="BA476" t="s">
        <v>556</v>
      </c>
    </row>
    <row r="477" spans="53:53" x14ac:dyDescent="0.25">
      <c r="BA477" t="s">
        <v>557</v>
      </c>
    </row>
    <row r="478" spans="53:53" x14ac:dyDescent="0.25">
      <c r="BA478" t="s">
        <v>558</v>
      </c>
    </row>
    <row r="479" spans="53:53" x14ac:dyDescent="0.25">
      <c r="BA479" t="s">
        <v>559</v>
      </c>
    </row>
    <row r="480" spans="53:53" x14ac:dyDescent="0.25">
      <c r="BA480" t="s">
        <v>291</v>
      </c>
    </row>
    <row r="481" spans="53:53" x14ac:dyDescent="0.25">
      <c r="BA481" t="s">
        <v>560</v>
      </c>
    </row>
    <row r="482" spans="53:53" x14ac:dyDescent="0.25">
      <c r="BA482" t="s">
        <v>561</v>
      </c>
    </row>
    <row r="483" spans="53:53" x14ac:dyDescent="0.25">
      <c r="BA483" t="s">
        <v>562</v>
      </c>
    </row>
    <row r="484" spans="53:53" x14ac:dyDescent="0.25">
      <c r="BA484" t="s">
        <v>563</v>
      </c>
    </row>
    <row r="485" spans="53:53" x14ac:dyDescent="0.25">
      <c r="BA485" t="s">
        <v>564</v>
      </c>
    </row>
    <row r="486" spans="53:53" x14ac:dyDescent="0.25">
      <c r="BA486" t="s">
        <v>565</v>
      </c>
    </row>
    <row r="487" spans="53:53" x14ac:dyDescent="0.25">
      <c r="BA487" t="s">
        <v>324</v>
      </c>
    </row>
    <row r="488" spans="53:53" x14ac:dyDescent="0.25">
      <c r="BA488" t="s">
        <v>566</v>
      </c>
    </row>
    <row r="489" spans="53:53" x14ac:dyDescent="0.25">
      <c r="BA489" t="s">
        <v>567</v>
      </c>
    </row>
    <row r="490" spans="53:53" x14ac:dyDescent="0.25">
      <c r="BA490" t="s">
        <v>568</v>
      </c>
    </row>
    <row r="491" spans="53:53" x14ac:dyDescent="0.25">
      <c r="BA491" t="s">
        <v>569</v>
      </c>
    </row>
    <row r="492" spans="53:53" x14ac:dyDescent="0.25">
      <c r="BA492" t="s">
        <v>570</v>
      </c>
    </row>
    <row r="493" spans="53:53" x14ac:dyDescent="0.25">
      <c r="BA493" t="s">
        <v>291</v>
      </c>
    </row>
    <row r="494" spans="53:53" x14ac:dyDescent="0.25">
      <c r="BA494" t="s">
        <v>571</v>
      </c>
    </row>
    <row r="495" spans="53:53" x14ac:dyDescent="0.25">
      <c r="BA495" t="s">
        <v>572</v>
      </c>
    </row>
    <row r="496" spans="53:53" x14ac:dyDescent="0.25">
      <c r="BA496" t="s">
        <v>489</v>
      </c>
    </row>
    <row r="497" spans="53:53" x14ac:dyDescent="0.25">
      <c r="BA497" t="s">
        <v>490</v>
      </c>
    </row>
    <row r="498" spans="53:53" x14ac:dyDescent="0.25">
      <c r="BA498" t="s">
        <v>573</v>
      </c>
    </row>
    <row r="499" spans="53:53" x14ac:dyDescent="0.25">
      <c r="BA499" t="s">
        <v>574</v>
      </c>
    </row>
    <row r="500" spans="53:53" x14ac:dyDescent="0.25">
      <c r="BA500" t="s">
        <v>575</v>
      </c>
    </row>
    <row r="501" spans="53:53" x14ac:dyDescent="0.25">
      <c r="BA501" t="s">
        <v>576</v>
      </c>
    </row>
    <row r="502" spans="53:53" x14ac:dyDescent="0.25">
      <c r="BA502" t="s">
        <v>324</v>
      </c>
    </row>
    <row r="503" spans="53:53" x14ac:dyDescent="0.25">
      <c r="BA503" t="s">
        <v>577</v>
      </c>
    </row>
    <row r="504" spans="53:53" x14ac:dyDescent="0.25">
      <c r="BA504" t="s">
        <v>578</v>
      </c>
    </row>
    <row r="505" spans="53:53" x14ac:dyDescent="0.25">
      <c r="BA505" t="s">
        <v>579</v>
      </c>
    </row>
    <row r="506" spans="53:53" x14ac:dyDescent="0.25">
      <c r="BA506" t="s">
        <v>580</v>
      </c>
    </row>
    <row r="507" spans="53:53" x14ac:dyDescent="0.25">
      <c r="BA507" t="s">
        <v>581</v>
      </c>
    </row>
    <row r="508" spans="53:53" x14ac:dyDescent="0.25">
      <c r="BA508" t="s">
        <v>291</v>
      </c>
    </row>
    <row r="509" spans="53:53" x14ac:dyDescent="0.25">
      <c r="BA509" t="s">
        <v>582</v>
      </c>
    </row>
    <row r="510" spans="53:53" x14ac:dyDescent="0.25">
      <c r="BA510" t="s">
        <v>583</v>
      </c>
    </row>
    <row r="511" spans="53:53" x14ac:dyDescent="0.25">
      <c r="BA511" t="s">
        <v>538</v>
      </c>
    </row>
    <row r="512" spans="53:53" x14ac:dyDescent="0.25">
      <c r="BA512" t="s">
        <v>584</v>
      </c>
    </row>
    <row r="513" spans="53:53" x14ac:dyDescent="0.25">
      <c r="BA513" t="s">
        <v>585</v>
      </c>
    </row>
    <row r="514" spans="53:53" x14ac:dyDescent="0.25">
      <c r="BA514" t="s">
        <v>586</v>
      </c>
    </row>
    <row r="515" spans="53:53" x14ac:dyDescent="0.25">
      <c r="BA515" t="s">
        <v>587</v>
      </c>
    </row>
    <row r="516" spans="53:53" x14ac:dyDescent="0.25">
      <c r="BA516" t="s">
        <v>291</v>
      </c>
    </row>
    <row r="517" spans="53:53" x14ac:dyDescent="0.25">
      <c r="BA517" t="s">
        <v>588</v>
      </c>
    </row>
    <row r="518" spans="53:53" x14ac:dyDescent="0.25">
      <c r="BA518" t="s">
        <v>589</v>
      </c>
    </row>
    <row r="519" spans="53:53" x14ac:dyDescent="0.25">
      <c r="BA519" t="s">
        <v>590</v>
      </c>
    </row>
    <row r="520" spans="53:53" x14ac:dyDescent="0.25">
      <c r="BA520" t="s">
        <v>591</v>
      </c>
    </row>
    <row r="521" spans="53:53" x14ac:dyDescent="0.25">
      <c r="BA521" t="s">
        <v>592</v>
      </c>
    </row>
    <row r="522" spans="53:53" x14ac:dyDescent="0.25">
      <c r="BA522" t="s">
        <v>593</v>
      </c>
    </row>
    <row r="523" spans="53:53" x14ac:dyDescent="0.25">
      <c r="BA523" t="s">
        <v>324</v>
      </c>
    </row>
    <row r="524" spans="53:53" x14ac:dyDescent="0.25">
      <c r="BA524" t="s">
        <v>594</v>
      </c>
    </row>
    <row r="525" spans="53:53" x14ac:dyDescent="0.25">
      <c r="BA525" t="s">
        <v>595</v>
      </c>
    </row>
    <row r="526" spans="53:53" x14ac:dyDescent="0.25">
      <c r="BA526" t="s">
        <v>596</v>
      </c>
    </row>
    <row r="527" spans="53:53" x14ac:dyDescent="0.25">
      <c r="BA527" t="s">
        <v>597</v>
      </c>
    </row>
    <row r="528" spans="53:53" x14ac:dyDescent="0.25">
      <c r="BA528" t="s">
        <v>598</v>
      </c>
    </row>
    <row r="529" spans="53:53" x14ac:dyDescent="0.25">
      <c r="BA529" t="s">
        <v>599</v>
      </c>
    </row>
    <row r="530" spans="53:53" x14ac:dyDescent="0.25">
      <c r="BA530" t="s">
        <v>600</v>
      </c>
    </row>
    <row r="531" spans="53:53" x14ac:dyDescent="0.25">
      <c r="BA531" t="s">
        <v>601</v>
      </c>
    </row>
    <row r="532" spans="53:53" x14ac:dyDescent="0.25">
      <c r="BA532" t="s">
        <v>602</v>
      </c>
    </row>
    <row r="533" spans="53:53" x14ac:dyDescent="0.25">
      <c r="BA533" t="s">
        <v>603</v>
      </c>
    </row>
    <row r="534" spans="53:53" x14ac:dyDescent="0.25">
      <c r="BA534" t="s">
        <v>604</v>
      </c>
    </row>
    <row r="535" spans="53:53" x14ac:dyDescent="0.25">
      <c r="BA535" t="s">
        <v>605</v>
      </c>
    </row>
    <row r="536" spans="53:53" x14ac:dyDescent="0.25">
      <c r="BA536" t="s">
        <v>606</v>
      </c>
    </row>
    <row r="537" spans="53:53" x14ac:dyDescent="0.25">
      <c r="BA537" t="s">
        <v>291</v>
      </c>
    </row>
    <row r="538" spans="53:53" x14ac:dyDescent="0.25">
      <c r="BA538" t="s">
        <v>607</v>
      </c>
    </row>
    <row r="539" spans="53:53" x14ac:dyDescent="0.25">
      <c r="BA539" t="s">
        <v>608</v>
      </c>
    </row>
    <row r="540" spans="53:53" x14ac:dyDescent="0.25">
      <c r="BA540" t="s">
        <v>609</v>
      </c>
    </row>
    <row r="541" spans="53:53" x14ac:dyDescent="0.25">
      <c r="BA541" t="s">
        <v>610</v>
      </c>
    </row>
    <row r="542" spans="53:53" x14ac:dyDescent="0.25">
      <c r="BA542" t="s">
        <v>611</v>
      </c>
    </row>
    <row r="543" spans="53:53" x14ac:dyDescent="0.25">
      <c r="BA543" t="s">
        <v>612</v>
      </c>
    </row>
    <row r="544" spans="53:53" x14ac:dyDescent="0.25">
      <c r="BA544" t="s">
        <v>613</v>
      </c>
    </row>
    <row r="545" spans="53:53" x14ac:dyDescent="0.25">
      <c r="BA545" t="s">
        <v>324</v>
      </c>
    </row>
    <row r="546" spans="53:53" x14ac:dyDescent="0.25">
      <c r="BA546" t="s">
        <v>614</v>
      </c>
    </row>
    <row r="547" spans="53:53" x14ac:dyDescent="0.25">
      <c r="BA547" t="s">
        <v>615</v>
      </c>
    </row>
    <row r="548" spans="53:53" x14ac:dyDescent="0.25">
      <c r="BA548" t="s">
        <v>616</v>
      </c>
    </row>
    <row r="549" spans="53:53" x14ac:dyDescent="0.25">
      <c r="BA549" t="s">
        <v>617</v>
      </c>
    </row>
    <row r="550" spans="53:53" x14ac:dyDescent="0.25">
      <c r="BA550" t="s">
        <v>618</v>
      </c>
    </row>
    <row r="551" spans="53:53" x14ac:dyDescent="0.25">
      <c r="BA551" t="s">
        <v>619</v>
      </c>
    </row>
    <row r="552" spans="53:53" x14ac:dyDescent="0.25">
      <c r="BA552" t="s">
        <v>620</v>
      </c>
    </row>
    <row r="553" spans="53:53" x14ac:dyDescent="0.25">
      <c r="BA553" t="s">
        <v>621</v>
      </c>
    </row>
    <row r="554" spans="53:53" x14ac:dyDescent="0.25">
      <c r="BA554" t="s">
        <v>622</v>
      </c>
    </row>
    <row r="555" spans="53:53" x14ac:dyDescent="0.25">
      <c r="BA555" t="s">
        <v>623</v>
      </c>
    </row>
    <row r="556" spans="53:53" x14ac:dyDescent="0.25">
      <c r="BA556" t="s">
        <v>624</v>
      </c>
    </row>
    <row r="557" spans="53:53" x14ac:dyDescent="0.25">
      <c r="BA557" t="s">
        <v>625</v>
      </c>
    </row>
    <row r="558" spans="53:53" x14ac:dyDescent="0.25">
      <c r="BA558" t="s">
        <v>626</v>
      </c>
    </row>
    <row r="559" spans="53:53" x14ac:dyDescent="0.25">
      <c r="BA559" t="s">
        <v>627</v>
      </c>
    </row>
    <row r="560" spans="53:53" x14ac:dyDescent="0.25">
      <c r="BA560" t="s">
        <v>628</v>
      </c>
    </row>
    <row r="561" spans="53:53" x14ac:dyDescent="0.25">
      <c r="BA561" t="s">
        <v>629</v>
      </c>
    </row>
    <row r="562" spans="53:53" x14ac:dyDescent="0.25">
      <c r="BA562" t="s">
        <v>630</v>
      </c>
    </row>
    <row r="563" spans="53:53" x14ac:dyDescent="0.25">
      <c r="BA563" t="s">
        <v>631</v>
      </c>
    </row>
    <row r="564" spans="53:53" x14ac:dyDescent="0.25">
      <c r="BA564" t="s">
        <v>632</v>
      </c>
    </row>
    <row r="565" spans="53:53" x14ac:dyDescent="0.25">
      <c r="BA565" t="s">
        <v>633</v>
      </c>
    </row>
    <row r="566" spans="53:53" x14ac:dyDescent="0.25">
      <c r="BA566" t="s">
        <v>634</v>
      </c>
    </row>
    <row r="567" spans="53:53" x14ac:dyDescent="0.25">
      <c r="BA567" t="s">
        <v>635</v>
      </c>
    </row>
    <row r="568" spans="53:53" x14ac:dyDescent="0.25">
      <c r="BA568" t="s">
        <v>636</v>
      </c>
    </row>
    <row r="569" spans="53:53" x14ac:dyDescent="0.25">
      <c r="BA569" t="s">
        <v>637</v>
      </c>
    </row>
    <row r="570" spans="53:53" x14ac:dyDescent="0.25">
      <c r="BA570" t="s">
        <v>638</v>
      </c>
    </row>
    <row r="571" spans="53:53" x14ac:dyDescent="0.25">
      <c r="BA571" t="s">
        <v>639</v>
      </c>
    </row>
    <row r="572" spans="53:53" x14ac:dyDescent="0.25">
      <c r="BA572" t="s">
        <v>640</v>
      </c>
    </row>
    <row r="573" spans="53:53" x14ac:dyDescent="0.25">
      <c r="BA573" t="s">
        <v>641</v>
      </c>
    </row>
    <row r="574" spans="53:53" x14ac:dyDescent="0.25">
      <c r="BA574" t="s">
        <v>642</v>
      </c>
    </row>
    <row r="575" spans="53:53" x14ac:dyDescent="0.25">
      <c r="BA575" t="s">
        <v>643</v>
      </c>
    </row>
    <row r="576" spans="53:53" x14ac:dyDescent="0.25">
      <c r="BA576" t="s">
        <v>189</v>
      </c>
    </row>
    <row r="577" spans="53:53" x14ac:dyDescent="0.25">
      <c r="BA577" t="s">
        <v>516</v>
      </c>
    </row>
    <row r="578" spans="53:53" x14ac:dyDescent="0.25">
      <c r="BA578" t="s">
        <v>644</v>
      </c>
    </row>
    <row r="579" spans="53:53" x14ac:dyDescent="0.25">
      <c r="BA579" t="s">
        <v>645</v>
      </c>
    </row>
    <row r="580" spans="53:53" x14ac:dyDescent="0.25">
      <c r="BA580" t="s">
        <v>646</v>
      </c>
    </row>
    <row r="581" spans="53:53" x14ac:dyDescent="0.25">
      <c r="BA581" t="s">
        <v>647</v>
      </c>
    </row>
    <row r="582" spans="53:53" x14ac:dyDescent="0.25">
      <c r="BA582" t="s">
        <v>648</v>
      </c>
    </row>
    <row r="583" spans="53:53" x14ac:dyDescent="0.25">
      <c r="BA583" t="s">
        <v>649</v>
      </c>
    </row>
    <row r="584" spans="53:53" x14ac:dyDescent="0.25">
      <c r="BA584" t="s">
        <v>650</v>
      </c>
    </row>
    <row r="585" spans="53:53" x14ac:dyDescent="0.25">
      <c r="BA585" t="s">
        <v>651</v>
      </c>
    </row>
    <row r="586" spans="53:53" x14ac:dyDescent="0.25">
      <c r="BA586" t="s">
        <v>652</v>
      </c>
    </row>
    <row r="587" spans="53:53" x14ac:dyDescent="0.25">
      <c r="BA587" t="s">
        <v>653</v>
      </c>
    </row>
    <row r="588" spans="53:53" x14ac:dyDescent="0.25">
      <c r="BA588" t="s">
        <v>654</v>
      </c>
    </row>
    <row r="589" spans="53:53" x14ac:dyDescent="0.25">
      <c r="BA589" t="s">
        <v>655</v>
      </c>
    </row>
    <row r="590" spans="53:53" x14ac:dyDescent="0.25">
      <c r="BA590" t="s">
        <v>656</v>
      </c>
    </row>
    <row r="591" spans="53:53" x14ac:dyDescent="0.25">
      <c r="BA591" t="s">
        <v>657</v>
      </c>
    </row>
    <row r="592" spans="53:53" x14ac:dyDescent="0.25">
      <c r="BA592" t="s">
        <v>658</v>
      </c>
    </row>
    <row r="593" spans="53:53" x14ac:dyDescent="0.25">
      <c r="BA593" t="s">
        <v>659</v>
      </c>
    </row>
    <row r="594" spans="53:53" x14ac:dyDescent="0.25">
      <c r="BA594" t="s">
        <v>538</v>
      </c>
    </row>
    <row r="595" spans="53:53" x14ac:dyDescent="0.25">
      <c r="BA595" t="s">
        <v>539</v>
      </c>
    </row>
    <row r="596" spans="53:53" x14ac:dyDescent="0.25">
      <c r="BA596" t="s">
        <v>544</v>
      </c>
    </row>
    <row r="597" spans="53:53" x14ac:dyDescent="0.25">
      <c r="BA597" t="s">
        <v>517</v>
      </c>
    </row>
    <row r="598" spans="53:53" x14ac:dyDescent="0.25">
      <c r="BA598" t="s">
        <v>660</v>
      </c>
    </row>
    <row r="599" spans="53:53" x14ac:dyDescent="0.25">
      <c r="BA599" t="s">
        <v>291</v>
      </c>
    </row>
    <row r="600" spans="53:53" x14ac:dyDescent="0.25">
      <c r="BA600" t="s">
        <v>545</v>
      </c>
    </row>
    <row r="601" spans="53:53" x14ac:dyDescent="0.25">
      <c r="BA601" t="s">
        <v>546</v>
      </c>
    </row>
    <row r="602" spans="53:53" x14ac:dyDescent="0.25">
      <c r="BA602" t="s">
        <v>661</v>
      </c>
    </row>
    <row r="603" spans="53:53" x14ac:dyDescent="0.25">
      <c r="BA603" t="s">
        <v>662</v>
      </c>
    </row>
    <row r="604" spans="53:53" x14ac:dyDescent="0.25">
      <c r="BA604" t="s">
        <v>663</v>
      </c>
    </row>
    <row r="605" spans="53:53" x14ac:dyDescent="0.25">
      <c r="BA605" t="s">
        <v>664</v>
      </c>
    </row>
    <row r="606" spans="53:53" x14ac:dyDescent="0.25">
      <c r="BA606" t="s">
        <v>665</v>
      </c>
    </row>
    <row r="607" spans="53:53" x14ac:dyDescent="0.25">
      <c r="BA607" t="s">
        <v>666</v>
      </c>
    </row>
    <row r="608" spans="53:53" x14ac:dyDescent="0.25">
      <c r="BA608" t="s">
        <v>667</v>
      </c>
    </row>
    <row r="609" spans="53:53" x14ac:dyDescent="0.25">
      <c r="BA609" t="s">
        <v>291</v>
      </c>
    </row>
    <row r="610" spans="53:53" x14ac:dyDescent="0.25">
      <c r="BA610" t="s">
        <v>538</v>
      </c>
    </row>
    <row r="611" spans="53:53" x14ac:dyDescent="0.25">
      <c r="BA611" t="s">
        <v>668</v>
      </c>
    </row>
    <row r="612" spans="53:53" x14ac:dyDescent="0.25">
      <c r="BA612" t="s">
        <v>669</v>
      </c>
    </row>
    <row r="613" spans="53:53" x14ac:dyDescent="0.25">
      <c r="BA613" t="s">
        <v>670</v>
      </c>
    </row>
    <row r="614" spans="53:53" x14ac:dyDescent="0.25">
      <c r="BA614" t="s">
        <v>557</v>
      </c>
    </row>
    <row r="615" spans="53:53" x14ac:dyDescent="0.25">
      <c r="BA615" t="s">
        <v>558</v>
      </c>
    </row>
    <row r="616" spans="53:53" x14ac:dyDescent="0.25">
      <c r="BA616" t="s">
        <v>559</v>
      </c>
    </row>
    <row r="617" spans="53:53" x14ac:dyDescent="0.25">
      <c r="BA617" t="s">
        <v>291</v>
      </c>
    </row>
    <row r="618" spans="53:53" x14ac:dyDescent="0.25">
      <c r="BA618" t="s">
        <v>671</v>
      </c>
    </row>
    <row r="619" spans="53:53" x14ac:dyDescent="0.25">
      <c r="BA619" t="s">
        <v>561</v>
      </c>
    </row>
    <row r="620" spans="53:53" x14ac:dyDescent="0.25">
      <c r="BA620" t="s">
        <v>489</v>
      </c>
    </row>
    <row r="621" spans="53:53" x14ac:dyDescent="0.25">
      <c r="BA621" t="s">
        <v>490</v>
      </c>
    </row>
    <row r="622" spans="53:53" x14ac:dyDescent="0.25">
      <c r="BA622" t="s">
        <v>563</v>
      </c>
    </row>
    <row r="623" spans="53:53" x14ac:dyDescent="0.25">
      <c r="BA623" t="s">
        <v>672</v>
      </c>
    </row>
    <row r="624" spans="53:53" x14ac:dyDescent="0.25">
      <c r="BA624" t="s">
        <v>324</v>
      </c>
    </row>
    <row r="625" spans="53:53" x14ac:dyDescent="0.25">
      <c r="BA625" t="s">
        <v>569</v>
      </c>
    </row>
    <row r="626" spans="53:53" x14ac:dyDescent="0.25">
      <c r="BA626" t="s">
        <v>570</v>
      </c>
    </row>
    <row r="627" spans="53:53" x14ac:dyDescent="0.25">
      <c r="BA627" t="s">
        <v>291</v>
      </c>
    </row>
    <row r="628" spans="53:53" x14ac:dyDescent="0.25">
      <c r="BA628" t="s">
        <v>571</v>
      </c>
    </row>
    <row r="629" spans="53:53" x14ac:dyDescent="0.25">
      <c r="BA629" t="s">
        <v>572</v>
      </c>
    </row>
    <row r="630" spans="53:53" x14ac:dyDescent="0.25">
      <c r="BA630" t="s">
        <v>489</v>
      </c>
    </row>
    <row r="631" spans="53:53" x14ac:dyDescent="0.25">
      <c r="BA631" t="s">
        <v>490</v>
      </c>
    </row>
    <row r="632" spans="53:53" x14ac:dyDescent="0.25">
      <c r="BA632" t="s">
        <v>574</v>
      </c>
    </row>
    <row r="633" spans="53:53" x14ac:dyDescent="0.25">
      <c r="BA633" t="s">
        <v>576</v>
      </c>
    </row>
    <row r="634" spans="53:53" x14ac:dyDescent="0.25">
      <c r="BA634" t="s">
        <v>324</v>
      </c>
    </row>
    <row r="635" spans="53:53" x14ac:dyDescent="0.25">
      <c r="BA635" t="s">
        <v>673</v>
      </c>
    </row>
    <row r="636" spans="53:53" x14ac:dyDescent="0.25">
      <c r="BA636" t="s">
        <v>674</v>
      </c>
    </row>
    <row r="637" spans="53:53" x14ac:dyDescent="0.25">
      <c r="BA637" t="s">
        <v>291</v>
      </c>
    </row>
    <row r="638" spans="53:53" x14ac:dyDescent="0.25">
      <c r="BA638" t="s">
        <v>538</v>
      </c>
    </row>
    <row r="639" spans="53:53" x14ac:dyDescent="0.25">
      <c r="BA639" t="s">
        <v>675</v>
      </c>
    </row>
    <row r="640" spans="53:53" x14ac:dyDescent="0.25">
      <c r="BA640" t="s">
        <v>676</v>
      </c>
    </row>
    <row r="641" spans="53:53" x14ac:dyDescent="0.25">
      <c r="BA641" t="s">
        <v>677</v>
      </c>
    </row>
    <row r="642" spans="53:53" x14ac:dyDescent="0.25">
      <c r="BA642" t="s">
        <v>291</v>
      </c>
    </row>
    <row r="643" spans="53:53" x14ac:dyDescent="0.25">
      <c r="BA643" t="s">
        <v>678</v>
      </c>
    </row>
    <row r="644" spans="53:53" x14ac:dyDescent="0.25">
      <c r="BA644" t="s">
        <v>679</v>
      </c>
    </row>
    <row r="645" spans="53:53" x14ac:dyDescent="0.25">
      <c r="BA645" t="s">
        <v>680</v>
      </c>
    </row>
    <row r="646" spans="53:53" x14ac:dyDescent="0.25">
      <c r="BA646" t="s">
        <v>681</v>
      </c>
    </row>
    <row r="647" spans="53:53" x14ac:dyDescent="0.25">
      <c r="BA647" t="s">
        <v>324</v>
      </c>
    </row>
    <row r="648" spans="53:53" x14ac:dyDescent="0.25">
      <c r="BA648" t="s">
        <v>682</v>
      </c>
    </row>
    <row r="649" spans="53:53" x14ac:dyDescent="0.25">
      <c r="BA649" t="s">
        <v>581</v>
      </c>
    </row>
    <row r="650" spans="53:53" x14ac:dyDescent="0.25">
      <c r="BA650" t="s">
        <v>291</v>
      </c>
    </row>
    <row r="651" spans="53:53" x14ac:dyDescent="0.25">
      <c r="BA651" t="s">
        <v>582</v>
      </c>
    </row>
    <row r="652" spans="53:53" x14ac:dyDescent="0.25">
      <c r="BA652" t="s">
        <v>538</v>
      </c>
    </row>
    <row r="653" spans="53:53" x14ac:dyDescent="0.25">
      <c r="BA653" t="s">
        <v>683</v>
      </c>
    </row>
    <row r="654" spans="53:53" x14ac:dyDescent="0.25">
      <c r="BA654" t="s">
        <v>684</v>
      </c>
    </row>
    <row r="655" spans="53:53" x14ac:dyDescent="0.25">
      <c r="BA655" t="s">
        <v>587</v>
      </c>
    </row>
    <row r="656" spans="53:53" x14ac:dyDescent="0.25">
      <c r="BA656" t="s">
        <v>291</v>
      </c>
    </row>
    <row r="657" spans="53:53" x14ac:dyDescent="0.25">
      <c r="BA657" t="s">
        <v>685</v>
      </c>
    </row>
    <row r="658" spans="53:53" x14ac:dyDescent="0.25">
      <c r="BA658" t="s">
        <v>589</v>
      </c>
    </row>
    <row r="659" spans="53:53" x14ac:dyDescent="0.25">
      <c r="BA659" t="s">
        <v>591</v>
      </c>
    </row>
    <row r="660" spans="53:53" x14ac:dyDescent="0.25">
      <c r="BA660" t="s">
        <v>686</v>
      </c>
    </row>
    <row r="661" spans="53:53" x14ac:dyDescent="0.25">
      <c r="BA661" t="s">
        <v>324</v>
      </c>
    </row>
    <row r="662" spans="53:53" x14ac:dyDescent="0.25">
      <c r="BA662" t="s">
        <v>604</v>
      </c>
    </row>
    <row r="663" spans="53:53" x14ac:dyDescent="0.25">
      <c r="BA663" t="s">
        <v>605</v>
      </c>
    </row>
    <row r="664" spans="53:53" x14ac:dyDescent="0.25">
      <c r="BA664" t="s">
        <v>606</v>
      </c>
    </row>
    <row r="665" spans="53:53" x14ac:dyDescent="0.25">
      <c r="BA665" t="s">
        <v>291</v>
      </c>
    </row>
    <row r="666" spans="53:53" x14ac:dyDescent="0.25">
      <c r="BA666" t="s">
        <v>687</v>
      </c>
    </row>
    <row r="667" spans="53:53" x14ac:dyDescent="0.25">
      <c r="BA667" t="s">
        <v>609</v>
      </c>
    </row>
    <row r="668" spans="53:53" x14ac:dyDescent="0.25">
      <c r="BA668" t="s">
        <v>611</v>
      </c>
    </row>
    <row r="669" spans="53:53" x14ac:dyDescent="0.25">
      <c r="BA669" t="s">
        <v>688</v>
      </c>
    </row>
    <row r="670" spans="53:53" x14ac:dyDescent="0.25">
      <c r="BA670" t="s">
        <v>324</v>
      </c>
    </row>
    <row r="671" spans="53:53" x14ac:dyDescent="0.25">
      <c r="BA671" t="s">
        <v>624</v>
      </c>
    </row>
    <row r="672" spans="53:53" x14ac:dyDescent="0.25">
      <c r="BA672" t="s">
        <v>689</v>
      </c>
    </row>
    <row r="673" spans="53:53" x14ac:dyDescent="0.25">
      <c r="BA673" t="s">
        <v>690</v>
      </c>
    </row>
    <row r="674" spans="53:53" x14ac:dyDescent="0.25">
      <c r="BA674" t="s">
        <v>691</v>
      </c>
    </row>
    <row r="675" spans="53:53" x14ac:dyDescent="0.25">
      <c r="BA675" t="s">
        <v>190</v>
      </c>
    </row>
    <row r="676" spans="53:53" x14ac:dyDescent="0.25">
      <c r="BA676" t="s">
        <v>516</v>
      </c>
    </row>
    <row r="677" spans="53:53" x14ac:dyDescent="0.25">
      <c r="BA677" t="s">
        <v>645</v>
      </c>
    </row>
    <row r="678" spans="53:53" x14ac:dyDescent="0.25">
      <c r="BA678" t="s">
        <v>646</v>
      </c>
    </row>
    <row r="679" spans="53:53" x14ac:dyDescent="0.25">
      <c r="BA679" t="s">
        <v>647</v>
      </c>
    </row>
    <row r="680" spans="53:53" x14ac:dyDescent="0.25">
      <c r="BA680" t="s">
        <v>648</v>
      </c>
    </row>
    <row r="681" spans="53:53" x14ac:dyDescent="0.25">
      <c r="BA681" t="s">
        <v>649</v>
      </c>
    </row>
    <row r="682" spans="53:53" x14ac:dyDescent="0.25">
      <c r="BA682" t="s">
        <v>650</v>
      </c>
    </row>
    <row r="683" spans="53:53" x14ac:dyDescent="0.25">
      <c r="BA683" t="s">
        <v>651</v>
      </c>
    </row>
    <row r="684" spans="53:53" x14ac:dyDescent="0.25">
      <c r="BA684" t="s">
        <v>692</v>
      </c>
    </row>
    <row r="685" spans="53:53" x14ac:dyDescent="0.25">
      <c r="BA685" t="s">
        <v>693</v>
      </c>
    </row>
    <row r="686" spans="53:53" x14ac:dyDescent="0.25">
      <c r="BA686" t="s">
        <v>694</v>
      </c>
    </row>
    <row r="687" spans="53:53" x14ac:dyDescent="0.25">
      <c r="BA687" t="s">
        <v>695</v>
      </c>
    </row>
    <row r="688" spans="53:53" x14ac:dyDescent="0.25">
      <c r="BA688" t="s">
        <v>696</v>
      </c>
    </row>
    <row r="689" spans="53:53" x14ac:dyDescent="0.25">
      <c r="BA689" t="s">
        <v>697</v>
      </c>
    </row>
    <row r="690" spans="53:53" x14ac:dyDescent="0.25">
      <c r="BA690" t="s">
        <v>698</v>
      </c>
    </row>
    <row r="691" spans="53:53" x14ac:dyDescent="0.25">
      <c r="BA691" t="s">
        <v>153</v>
      </c>
    </row>
    <row r="692" spans="53:53" x14ac:dyDescent="0.25">
      <c r="BA692" t="s">
        <v>699</v>
      </c>
    </row>
    <row r="693" spans="53:53" x14ac:dyDescent="0.25">
      <c r="BA693" t="s">
        <v>291</v>
      </c>
    </row>
    <row r="694" spans="53:53" x14ac:dyDescent="0.25">
      <c r="BA694" t="s">
        <v>700</v>
      </c>
    </row>
    <row r="695" spans="53:53" x14ac:dyDescent="0.25">
      <c r="BA695" t="s">
        <v>701</v>
      </c>
    </row>
    <row r="696" spans="53:53" x14ac:dyDescent="0.25">
      <c r="BA696" t="s">
        <v>702</v>
      </c>
    </row>
    <row r="697" spans="53:53" x14ac:dyDescent="0.25">
      <c r="BA697" t="s">
        <v>291</v>
      </c>
    </row>
    <row r="698" spans="53:53" x14ac:dyDescent="0.25">
      <c r="BA698" t="s">
        <v>703</v>
      </c>
    </row>
    <row r="699" spans="53:53" x14ac:dyDescent="0.25">
      <c r="BA699" t="s">
        <v>704</v>
      </c>
    </row>
    <row r="700" spans="53:53" x14ac:dyDescent="0.25">
      <c r="BA700" t="s">
        <v>538</v>
      </c>
    </row>
    <row r="701" spans="53:53" x14ac:dyDescent="0.25">
      <c r="BA701" t="s">
        <v>705</v>
      </c>
    </row>
    <row r="702" spans="53:53" x14ac:dyDescent="0.25">
      <c r="BA702" t="s">
        <v>706</v>
      </c>
    </row>
    <row r="703" spans="53:53" x14ac:dyDescent="0.25">
      <c r="BA703" t="s">
        <v>291</v>
      </c>
    </row>
    <row r="704" spans="53:53" x14ac:dyDescent="0.25">
      <c r="BA704" t="s">
        <v>707</v>
      </c>
    </row>
    <row r="705" spans="53:53" x14ac:dyDescent="0.25">
      <c r="BA705" t="s">
        <v>708</v>
      </c>
    </row>
    <row r="706" spans="53:53" x14ac:dyDescent="0.25">
      <c r="BA706" t="s">
        <v>709</v>
      </c>
    </row>
    <row r="707" spans="53:53" x14ac:dyDescent="0.25">
      <c r="BA707" t="s">
        <v>710</v>
      </c>
    </row>
    <row r="708" spans="53:53" x14ac:dyDescent="0.25">
      <c r="BA708" t="s">
        <v>324</v>
      </c>
    </row>
    <row r="709" spans="53:53" x14ac:dyDescent="0.25">
      <c r="BA709" t="s">
        <v>711</v>
      </c>
    </row>
    <row r="710" spans="53:53" x14ac:dyDescent="0.25">
      <c r="BA710" t="s">
        <v>712</v>
      </c>
    </row>
    <row r="711" spans="53:53" x14ac:dyDescent="0.25">
      <c r="BA711" t="s">
        <v>291</v>
      </c>
    </row>
    <row r="712" spans="53:53" x14ac:dyDescent="0.25">
      <c r="BA712" t="s">
        <v>713</v>
      </c>
    </row>
    <row r="713" spans="53:53" x14ac:dyDescent="0.25">
      <c r="BA713" t="s">
        <v>714</v>
      </c>
    </row>
    <row r="714" spans="53:53" x14ac:dyDescent="0.25">
      <c r="BA714" t="s">
        <v>715</v>
      </c>
    </row>
    <row r="715" spans="53:53" x14ac:dyDescent="0.25">
      <c r="BA715" t="s">
        <v>716</v>
      </c>
    </row>
    <row r="716" spans="53:53" x14ac:dyDescent="0.25">
      <c r="BA716" t="s">
        <v>324</v>
      </c>
    </row>
    <row r="717" spans="53:53" x14ac:dyDescent="0.25">
      <c r="BA717" t="s">
        <v>717</v>
      </c>
    </row>
    <row r="718" spans="53:53" x14ac:dyDescent="0.25">
      <c r="BA718" t="s">
        <v>191</v>
      </c>
    </row>
    <row r="719" spans="53:53" x14ac:dyDescent="0.25">
      <c r="BA719" t="s">
        <v>718</v>
      </c>
    </row>
    <row r="720" spans="53:53" x14ac:dyDescent="0.25">
      <c r="BA720" t="s">
        <v>646</v>
      </c>
    </row>
    <row r="721" spans="53:53" x14ac:dyDescent="0.25">
      <c r="BA721" t="s">
        <v>719</v>
      </c>
    </row>
    <row r="722" spans="53:53" x14ac:dyDescent="0.25">
      <c r="BA722" t="s">
        <v>720</v>
      </c>
    </row>
    <row r="723" spans="53:53" x14ac:dyDescent="0.25">
      <c r="BA723" t="s">
        <v>721</v>
      </c>
    </row>
    <row r="724" spans="53:53" x14ac:dyDescent="0.25">
      <c r="BA724" t="s">
        <v>291</v>
      </c>
    </row>
    <row r="725" spans="53:53" x14ac:dyDescent="0.25">
      <c r="BA725" t="s">
        <v>693</v>
      </c>
    </row>
    <row r="726" spans="53:53" x14ac:dyDescent="0.25">
      <c r="BA726" t="s">
        <v>722</v>
      </c>
    </row>
    <row r="727" spans="53:53" x14ac:dyDescent="0.25">
      <c r="BA727" t="s">
        <v>723</v>
      </c>
    </row>
    <row r="728" spans="53:53" x14ac:dyDescent="0.25">
      <c r="BA728" t="s">
        <v>724</v>
      </c>
    </row>
    <row r="729" spans="53:53" x14ac:dyDescent="0.25">
      <c r="BA729" t="s">
        <v>725</v>
      </c>
    </row>
    <row r="730" spans="53:53" x14ac:dyDescent="0.25">
      <c r="BA730" t="s">
        <v>646</v>
      </c>
    </row>
    <row r="731" spans="53:53" x14ac:dyDescent="0.25">
      <c r="BA731" t="s">
        <v>726</v>
      </c>
    </row>
    <row r="732" spans="53:53" x14ac:dyDescent="0.25">
      <c r="BA732" t="s">
        <v>727</v>
      </c>
    </row>
    <row r="733" spans="53:53" x14ac:dyDescent="0.25">
      <c r="BA733" t="s">
        <v>728</v>
      </c>
    </row>
    <row r="734" spans="53:53" x14ac:dyDescent="0.25">
      <c r="BA734" t="s">
        <v>729</v>
      </c>
    </row>
    <row r="735" spans="53:53" x14ac:dyDescent="0.25">
      <c r="BA735" t="s">
        <v>730</v>
      </c>
    </row>
    <row r="736" spans="53:53" x14ac:dyDescent="0.25">
      <c r="BA736" t="s">
        <v>731</v>
      </c>
    </row>
    <row r="737" spans="53:53" x14ac:dyDescent="0.25">
      <c r="BA737" t="s">
        <v>732</v>
      </c>
    </row>
    <row r="738" spans="53:53" x14ac:dyDescent="0.25">
      <c r="BA738" t="s">
        <v>733</v>
      </c>
    </row>
    <row r="739" spans="53:53" x14ac:dyDescent="0.25">
      <c r="BA739" t="s">
        <v>734</v>
      </c>
    </row>
    <row r="740" spans="53:53" x14ac:dyDescent="0.25">
      <c r="BA740" t="s">
        <v>735</v>
      </c>
    </row>
    <row r="741" spans="53:53" x14ac:dyDescent="0.25">
      <c r="BA741" t="s">
        <v>736</v>
      </c>
    </row>
    <row r="742" spans="53:53" x14ac:dyDescent="0.25">
      <c r="BA742" t="s">
        <v>737</v>
      </c>
    </row>
    <row r="743" spans="53:53" x14ac:dyDescent="0.25">
      <c r="BA743" t="s">
        <v>738</v>
      </c>
    </row>
    <row r="744" spans="53:53" x14ac:dyDescent="0.25">
      <c r="BA744" t="s">
        <v>739</v>
      </c>
    </row>
    <row r="745" spans="53:53" x14ac:dyDescent="0.25">
      <c r="BA745" t="s">
        <v>740</v>
      </c>
    </row>
    <row r="746" spans="53:53" x14ac:dyDescent="0.25">
      <c r="BA746" t="s">
        <v>741</v>
      </c>
    </row>
    <row r="747" spans="53:53" x14ac:dyDescent="0.25">
      <c r="BA747" t="s">
        <v>742</v>
      </c>
    </row>
    <row r="748" spans="53:53" x14ac:dyDescent="0.25">
      <c r="BA748" t="s">
        <v>743</v>
      </c>
    </row>
    <row r="749" spans="53:53" x14ac:dyDescent="0.25">
      <c r="BA749" t="s">
        <v>744</v>
      </c>
    </row>
    <row r="750" spans="53:53" x14ac:dyDescent="0.25">
      <c r="BA750" t="s">
        <v>291</v>
      </c>
    </row>
    <row r="751" spans="53:53" x14ac:dyDescent="0.25">
      <c r="BA751" t="s">
        <v>745</v>
      </c>
    </row>
    <row r="752" spans="53:53" x14ac:dyDescent="0.25">
      <c r="BA752" t="s">
        <v>746</v>
      </c>
    </row>
    <row r="753" spans="53:53" x14ac:dyDescent="0.25">
      <c r="BA753" t="s">
        <v>747</v>
      </c>
    </row>
    <row r="754" spans="53:53" x14ac:dyDescent="0.25">
      <c r="BA754" t="s">
        <v>748</v>
      </c>
    </row>
    <row r="755" spans="53:53" x14ac:dyDescent="0.25">
      <c r="BA755" t="s">
        <v>749</v>
      </c>
    </row>
    <row r="756" spans="53:53" x14ac:dyDescent="0.25">
      <c r="BA756" t="s">
        <v>291</v>
      </c>
    </row>
    <row r="757" spans="53:53" x14ac:dyDescent="0.25">
      <c r="BA757" t="s">
        <v>750</v>
      </c>
    </row>
    <row r="758" spans="53:53" x14ac:dyDescent="0.25">
      <c r="BA758" t="s">
        <v>751</v>
      </c>
    </row>
    <row r="759" spans="53:53" x14ac:dyDescent="0.25">
      <c r="BA759" t="s">
        <v>747</v>
      </c>
    </row>
    <row r="760" spans="53:53" x14ac:dyDescent="0.25">
      <c r="BA760" t="s">
        <v>752</v>
      </c>
    </row>
    <row r="761" spans="53:53" x14ac:dyDescent="0.25">
      <c r="BA761" t="s">
        <v>538</v>
      </c>
    </row>
    <row r="762" spans="53:53" x14ac:dyDescent="0.25">
      <c r="BA762" t="s">
        <v>753</v>
      </c>
    </row>
    <row r="763" spans="53:53" x14ac:dyDescent="0.25">
      <c r="BA763" t="s">
        <v>754</v>
      </c>
    </row>
    <row r="764" spans="53:53" x14ac:dyDescent="0.25">
      <c r="BA764" t="s">
        <v>291</v>
      </c>
    </row>
    <row r="765" spans="53:53" x14ac:dyDescent="0.25">
      <c r="BA765" t="s">
        <v>755</v>
      </c>
    </row>
    <row r="766" spans="53:53" x14ac:dyDescent="0.25">
      <c r="BA766" t="s">
        <v>756</v>
      </c>
    </row>
    <row r="767" spans="53:53" x14ac:dyDescent="0.25">
      <c r="BA767" t="s">
        <v>757</v>
      </c>
    </row>
    <row r="768" spans="53:53" x14ac:dyDescent="0.25">
      <c r="BA768" t="s">
        <v>758</v>
      </c>
    </row>
    <row r="769" spans="53:53" x14ac:dyDescent="0.25">
      <c r="BA769" t="s">
        <v>759</v>
      </c>
    </row>
    <row r="770" spans="53:53" x14ac:dyDescent="0.25">
      <c r="BA770" t="s">
        <v>760</v>
      </c>
    </row>
    <row r="771" spans="53:53" x14ac:dyDescent="0.25">
      <c r="BA771" t="s">
        <v>291</v>
      </c>
    </row>
    <row r="772" spans="53:53" x14ac:dyDescent="0.25">
      <c r="BA772" t="s">
        <v>761</v>
      </c>
    </row>
    <row r="773" spans="53:53" x14ac:dyDescent="0.25">
      <c r="BA773" t="s">
        <v>762</v>
      </c>
    </row>
    <row r="774" spans="53:53" x14ac:dyDescent="0.25">
      <c r="BA774" t="s">
        <v>763</v>
      </c>
    </row>
    <row r="775" spans="53:53" x14ac:dyDescent="0.25">
      <c r="BA775" t="s">
        <v>291</v>
      </c>
    </row>
    <row r="776" spans="53:53" x14ac:dyDescent="0.25">
      <c r="BA776" t="s">
        <v>764</v>
      </c>
    </row>
    <row r="777" spans="53:53" x14ac:dyDescent="0.25">
      <c r="BA777" t="s">
        <v>765</v>
      </c>
    </row>
    <row r="778" spans="53:53" x14ac:dyDescent="0.25">
      <c r="BA778" t="s">
        <v>766</v>
      </c>
    </row>
    <row r="779" spans="53:53" x14ac:dyDescent="0.25">
      <c r="BA779" t="s">
        <v>767</v>
      </c>
    </row>
    <row r="780" spans="53:53" x14ac:dyDescent="0.25">
      <c r="BA780" t="s">
        <v>768</v>
      </c>
    </row>
    <row r="781" spans="53:53" x14ac:dyDescent="0.25">
      <c r="BA781" t="s">
        <v>291</v>
      </c>
    </row>
    <row r="782" spans="53:53" x14ac:dyDescent="0.25">
      <c r="BA782" t="s">
        <v>769</v>
      </c>
    </row>
    <row r="783" spans="53:53" x14ac:dyDescent="0.25">
      <c r="BA783" t="s">
        <v>770</v>
      </c>
    </row>
    <row r="784" spans="53:53" x14ac:dyDescent="0.25">
      <c r="BA784" t="s">
        <v>766</v>
      </c>
    </row>
    <row r="785" spans="53:53" x14ac:dyDescent="0.25">
      <c r="BA785" t="s">
        <v>771</v>
      </c>
    </row>
    <row r="786" spans="53:53" x14ac:dyDescent="0.25">
      <c r="BA786" t="s">
        <v>772</v>
      </c>
    </row>
    <row r="787" spans="53:53" x14ac:dyDescent="0.25">
      <c r="BA787" t="s">
        <v>291</v>
      </c>
    </row>
    <row r="788" spans="53:53" x14ac:dyDescent="0.25">
      <c r="BA788" t="s">
        <v>773</v>
      </c>
    </row>
    <row r="789" spans="53:53" x14ac:dyDescent="0.25">
      <c r="BA789" t="s">
        <v>774</v>
      </c>
    </row>
    <row r="790" spans="53:53" x14ac:dyDescent="0.25">
      <c r="BA790" t="s">
        <v>775</v>
      </c>
    </row>
    <row r="791" spans="53:53" x14ac:dyDescent="0.25">
      <c r="BA791" t="s">
        <v>324</v>
      </c>
    </row>
    <row r="792" spans="53:53" x14ac:dyDescent="0.25">
      <c r="BA792" t="s">
        <v>776</v>
      </c>
    </row>
    <row r="793" spans="53:53" x14ac:dyDescent="0.25">
      <c r="BA793" t="s">
        <v>777</v>
      </c>
    </row>
    <row r="794" spans="53:53" x14ac:dyDescent="0.25">
      <c r="BA794" t="s">
        <v>778</v>
      </c>
    </row>
    <row r="795" spans="53:53" x14ac:dyDescent="0.25">
      <c r="BA795" t="s">
        <v>779</v>
      </c>
    </row>
    <row r="796" spans="53:53" x14ac:dyDescent="0.25">
      <c r="BA796" t="s">
        <v>291</v>
      </c>
    </row>
    <row r="797" spans="53:53" x14ac:dyDescent="0.25">
      <c r="BA797" t="s">
        <v>780</v>
      </c>
    </row>
    <row r="798" spans="53:53" x14ac:dyDescent="0.25">
      <c r="BA798" t="s">
        <v>781</v>
      </c>
    </row>
    <row r="799" spans="53:53" x14ac:dyDescent="0.25">
      <c r="BA799" t="s">
        <v>782</v>
      </c>
    </row>
    <row r="800" spans="53:53" x14ac:dyDescent="0.25">
      <c r="BA800" t="s">
        <v>783</v>
      </c>
    </row>
    <row r="801" spans="53:53" x14ac:dyDescent="0.25">
      <c r="BA801" t="s">
        <v>766</v>
      </c>
    </row>
    <row r="802" spans="53:53" x14ac:dyDescent="0.25">
      <c r="BA802" t="s">
        <v>784</v>
      </c>
    </row>
    <row r="803" spans="53:53" x14ac:dyDescent="0.25">
      <c r="BA803" t="s">
        <v>785</v>
      </c>
    </row>
    <row r="804" spans="53:53" x14ac:dyDescent="0.25">
      <c r="BA804" t="s">
        <v>786</v>
      </c>
    </row>
    <row r="805" spans="53:53" x14ac:dyDescent="0.25">
      <c r="BA805" t="s">
        <v>782</v>
      </c>
    </row>
    <row r="806" spans="53:53" x14ac:dyDescent="0.25">
      <c r="BA806" t="s">
        <v>783</v>
      </c>
    </row>
    <row r="807" spans="53:53" x14ac:dyDescent="0.25">
      <c r="BA807" t="s">
        <v>787</v>
      </c>
    </row>
    <row r="808" spans="53:53" x14ac:dyDescent="0.25">
      <c r="BA808" t="s">
        <v>760</v>
      </c>
    </row>
    <row r="809" spans="53:53" x14ac:dyDescent="0.25">
      <c r="BA809" t="s">
        <v>291</v>
      </c>
    </row>
    <row r="810" spans="53:53" x14ac:dyDescent="0.25">
      <c r="BA810" t="s">
        <v>788</v>
      </c>
    </row>
    <row r="811" spans="53:53" x14ac:dyDescent="0.25">
      <c r="BA811" t="s">
        <v>789</v>
      </c>
    </row>
    <row r="812" spans="53:53" x14ac:dyDescent="0.25">
      <c r="BA812" t="s">
        <v>790</v>
      </c>
    </row>
    <row r="813" spans="53:53" x14ac:dyDescent="0.25">
      <c r="BA813" t="s">
        <v>758</v>
      </c>
    </row>
    <row r="814" spans="53:53" x14ac:dyDescent="0.25">
      <c r="BA814" t="s">
        <v>759</v>
      </c>
    </row>
    <row r="815" spans="53:53" x14ac:dyDescent="0.25">
      <c r="BA815" t="s">
        <v>791</v>
      </c>
    </row>
    <row r="816" spans="53:53" x14ac:dyDescent="0.25">
      <c r="BA816" t="s">
        <v>792</v>
      </c>
    </row>
    <row r="817" spans="53:53" x14ac:dyDescent="0.25">
      <c r="BA817" t="s">
        <v>793</v>
      </c>
    </row>
    <row r="818" spans="53:53" x14ac:dyDescent="0.25">
      <c r="BA818" t="s">
        <v>766</v>
      </c>
    </row>
    <row r="819" spans="53:53" x14ac:dyDescent="0.25">
      <c r="BA819" t="s">
        <v>794</v>
      </c>
    </row>
    <row r="820" spans="53:53" x14ac:dyDescent="0.25">
      <c r="BA820" t="s">
        <v>324</v>
      </c>
    </row>
    <row r="821" spans="53:53" x14ac:dyDescent="0.25">
      <c r="BA821" t="s">
        <v>795</v>
      </c>
    </row>
    <row r="822" spans="53:53" x14ac:dyDescent="0.25">
      <c r="BA822" t="s">
        <v>785</v>
      </c>
    </row>
    <row r="823" spans="53:53" x14ac:dyDescent="0.25">
      <c r="BA823" t="s">
        <v>766</v>
      </c>
    </row>
    <row r="824" spans="53:53" x14ac:dyDescent="0.25">
      <c r="BA824" t="s">
        <v>796</v>
      </c>
    </row>
    <row r="825" spans="53:53" x14ac:dyDescent="0.25">
      <c r="BA825" t="s">
        <v>797</v>
      </c>
    </row>
    <row r="826" spans="53:53" x14ac:dyDescent="0.25">
      <c r="BA826" t="s">
        <v>798</v>
      </c>
    </row>
    <row r="827" spans="53:53" x14ac:dyDescent="0.25">
      <c r="BA827" t="s">
        <v>799</v>
      </c>
    </row>
    <row r="828" spans="53:53" x14ac:dyDescent="0.25">
      <c r="BA828" t="s">
        <v>324</v>
      </c>
    </row>
    <row r="829" spans="53:53" x14ac:dyDescent="0.25">
      <c r="BA829" t="s">
        <v>800</v>
      </c>
    </row>
    <row r="830" spans="53:53" x14ac:dyDescent="0.25">
      <c r="BA830" t="s">
        <v>801</v>
      </c>
    </row>
    <row r="831" spans="53:53" x14ac:dyDescent="0.25">
      <c r="BA831" t="s">
        <v>754</v>
      </c>
    </row>
    <row r="832" spans="53:53" x14ac:dyDescent="0.25">
      <c r="BA832" t="s">
        <v>291</v>
      </c>
    </row>
    <row r="833" spans="53:53" x14ac:dyDescent="0.25">
      <c r="BA833" t="s">
        <v>792</v>
      </c>
    </row>
    <row r="834" spans="53:53" x14ac:dyDescent="0.25">
      <c r="BA834" t="s">
        <v>802</v>
      </c>
    </row>
    <row r="835" spans="53:53" x14ac:dyDescent="0.25">
      <c r="BA835" t="s">
        <v>803</v>
      </c>
    </row>
    <row r="836" spans="53:53" x14ac:dyDescent="0.25">
      <c r="BA836" t="s">
        <v>766</v>
      </c>
    </row>
    <row r="837" spans="53:53" x14ac:dyDescent="0.25">
      <c r="BA837" t="s">
        <v>804</v>
      </c>
    </row>
    <row r="838" spans="53:53" x14ac:dyDescent="0.25">
      <c r="BA838" t="s">
        <v>324</v>
      </c>
    </row>
    <row r="839" spans="53:53" x14ac:dyDescent="0.25">
      <c r="BA839" t="s">
        <v>805</v>
      </c>
    </row>
    <row r="840" spans="53:53" x14ac:dyDescent="0.25">
      <c r="BA840" t="s">
        <v>806</v>
      </c>
    </row>
    <row r="841" spans="53:53" x14ac:dyDescent="0.25">
      <c r="BA841" t="s">
        <v>807</v>
      </c>
    </row>
    <row r="842" spans="53:53" x14ac:dyDescent="0.25">
      <c r="BA842" t="s">
        <v>73</v>
      </c>
    </row>
    <row r="843" spans="53:53" x14ac:dyDescent="0.25">
      <c r="BA843" t="s">
        <v>74</v>
      </c>
    </row>
    <row r="844" spans="53:53" x14ac:dyDescent="0.25">
      <c r="BA844" t="s">
        <v>75</v>
      </c>
    </row>
    <row r="845" spans="53:53" x14ac:dyDescent="0.25">
      <c r="BA845" t="s">
        <v>76</v>
      </c>
    </row>
    <row r="846" spans="53:53" x14ac:dyDescent="0.25">
      <c r="BA846" t="s">
        <v>77</v>
      </c>
    </row>
    <row r="847" spans="53:53" x14ac:dyDescent="0.25">
      <c r="BA847" t="s">
        <v>78</v>
      </c>
    </row>
    <row r="848" spans="53:53" x14ac:dyDescent="0.25">
      <c r="BA848" t="s">
        <v>79</v>
      </c>
    </row>
    <row r="849" spans="53:53" x14ac:dyDescent="0.25">
      <c r="BA849" t="s">
        <v>80</v>
      </c>
    </row>
    <row r="850" spans="53:53" x14ac:dyDescent="0.25">
      <c r="BA850" t="s">
        <v>81</v>
      </c>
    </row>
    <row r="851" spans="53:53" x14ac:dyDescent="0.25">
      <c r="BA851" t="s">
        <v>82</v>
      </c>
    </row>
    <row r="852" spans="53:53" x14ac:dyDescent="0.25">
      <c r="BA852" t="s">
        <v>83</v>
      </c>
    </row>
    <row r="853" spans="53:53" x14ac:dyDescent="0.25">
      <c r="BA853" t="s">
        <v>84</v>
      </c>
    </row>
    <row r="854" spans="53:53" x14ac:dyDescent="0.25">
      <c r="BA854" t="s">
        <v>85</v>
      </c>
    </row>
    <row r="855" spans="53:53" x14ac:dyDescent="0.25">
      <c r="BA855" t="s">
        <v>86</v>
      </c>
    </row>
    <row r="856" spans="53:53" x14ac:dyDescent="0.25">
      <c r="BA856" t="s">
        <v>87</v>
      </c>
    </row>
    <row r="857" spans="53:53" x14ac:dyDescent="0.25">
      <c r="BA857" t="s">
        <v>88</v>
      </c>
    </row>
    <row r="858" spans="53:53" x14ac:dyDescent="0.25">
      <c r="BA858" t="s">
        <v>89</v>
      </c>
    </row>
    <row r="859" spans="53:53" x14ac:dyDescent="0.25">
      <c r="BA859" t="s">
        <v>90</v>
      </c>
    </row>
    <row r="860" spans="53:53" x14ac:dyDescent="0.25">
      <c r="BA860" t="s">
        <v>91</v>
      </c>
    </row>
    <row r="861" spans="53:53" x14ac:dyDescent="0.25">
      <c r="BA861" t="s">
        <v>92</v>
      </c>
    </row>
    <row r="862" spans="53:53" x14ac:dyDescent="0.25">
      <c r="BA862" t="s">
        <v>93</v>
      </c>
    </row>
    <row r="863" spans="53:53" x14ac:dyDescent="0.25">
      <c r="BA863" t="s">
        <v>94</v>
      </c>
    </row>
    <row r="864" spans="53:53" x14ac:dyDescent="0.25">
      <c r="BA864" t="s">
        <v>95</v>
      </c>
    </row>
    <row r="865" spans="53:53" x14ac:dyDescent="0.25">
      <c r="BA865" t="s">
        <v>96</v>
      </c>
    </row>
    <row r="866" spans="53:53" x14ac:dyDescent="0.25">
      <c r="BA866" t="s">
        <v>97</v>
      </c>
    </row>
    <row r="867" spans="53:53" x14ac:dyDescent="0.25">
      <c r="BA867" t="s">
        <v>98</v>
      </c>
    </row>
    <row r="868" spans="53:53" x14ac:dyDescent="0.25">
      <c r="BA868" t="s">
        <v>99</v>
      </c>
    </row>
    <row r="869" spans="53:53" x14ac:dyDescent="0.25">
      <c r="BA869" t="s">
        <v>100</v>
      </c>
    </row>
    <row r="870" spans="53:53" x14ac:dyDescent="0.25">
      <c r="BA870" t="s">
        <v>101</v>
      </c>
    </row>
    <row r="871" spans="53:53" x14ac:dyDescent="0.25">
      <c r="BA871" t="s">
        <v>102</v>
      </c>
    </row>
    <row r="872" spans="53:53" x14ac:dyDescent="0.25">
      <c r="BA872" t="s">
        <v>103</v>
      </c>
    </row>
    <row r="873" spans="53:53" x14ac:dyDescent="0.25">
      <c r="BA873" t="s">
        <v>104</v>
      </c>
    </row>
    <row r="874" spans="53:53" x14ac:dyDescent="0.25">
      <c r="BA874" t="s">
        <v>105</v>
      </c>
    </row>
    <row r="875" spans="53:53" x14ac:dyDescent="0.25">
      <c r="BA875" t="s">
        <v>106</v>
      </c>
    </row>
    <row r="876" spans="53:53" x14ac:dyDescent="0.25">
      <c r="BA876" t="s">
        <v>107</v>
      </c>
    </row>
    <row r="877" spans="53:53" x14ac:dyDescent="0.25">
      <c r="BA877" t="s">
        <v>156</v>
      </c>
    </row>
    <row r="878" spans="53:53" x14ac:dyDescent="0.25">
      <c r="BA878" t="s">
        <v>108</v>
      </c>
    </row>
    <row r="879" spans="53:53" x14ac:dyDescent="0.25">
      <c r="BA879" t="s">
        <v>109</v>
      </c>
    </row>
    <row r="880" spans="53:53" x14ac:dyDescent="0.25">
      <c r="BA880" t="s">
        <v>110</v>
      </c>
    </row>
    <row r="881" spans="53:53" x14ac:dyDescent="0.25">
      <c r="BA881" t="s">
        <v>111</v>
      </c>
    </row>
    <row r="882" spans="53:53" x14ac:dyDescent="0.25">
      <c r="BA882" t="s">
        <v>112</v>
      </c>
    </row>
    <row r="883" spans="53:53" x14ac:dyDescent="0.25">
      <c r="BA883" t="s">
        <v>113</v>
      </c>
    </row>
    <row r="884" spans="53:53" x14ac:dyDescent="0.25">
      <c r="BA884" t="s">
        <v>114</v>
      </c>
    </row>
    <row r="885" spans="53:53" x14ac:dyDescent="0.25">
      <c r="BA885" t="s">
        <v>115</v>
      </c>
    </row>
    <row r="886" spans="53:53" x14ac:dyDescent="0.25">
      <c r="BA886" t="s">
        <v>116</v>
      </c>
    </row>
    <row r="887" spans="53:53" x14ac:dyDescent="0.25">
      <c r="BA887" t="s">
        <v>117</v>
      </c>
    </row>
    <row r="888" spans="53:53" x14ac:dyDescent="0.25">
      <c r="BA888" t="s">
        <v>118</v>
      </c>
    </row>
    <row r="889" spans="53:53" x14ac:dyDescent="0.25">
      <c r="BA889" t="s">
        <v>119</v>
      </c>
    </row>
    <row r="890" spans="53:53" x14ac:dyDescent="0.25">
      <c r="BA890" t="s">
        <v>120</v>
      </c>
    </row>
    <row r="891" spans="53:53" x14ac:dyDescent="0.25">
      <c r="BA891" t="s">
        <v>121</v>
      </c>
    </row>
    <row r="892" spans="53:53" x14ac:dyDescent="0.25">
      <c r="BA892" t="s">
        <v>122</v>
      </c>
    </row>
    <row r="893" spans="53:53" x14ac:dyDescent="0.25">
      <c r="BA893" t="s">
        <v>123</v>
      </c>
    </row>
    <row r="894" spans="53:53" x14ac:dyDescent="0.25">
      <c r="BA894" t="s">
        <v>124</v>
      </c>
    </row>
    <row r="895" spans="53:53" x14ac:dyDescent="0.25">
      <c r="BA895" t="s">
        <v>125</v>
      </c>
    </row>
    <row r="896" spans="53:53" x14ac:dyDescent="0.25">
      <c r="BA896" t="s">
        <v>126</v>
      </c>
    </row>
    <row r="897" spans="53:53" x14ac:dyDescent="0.25">
      <c r="BA897" t="s">
        <v>127</v>
      </c>
    </row>
    <row r="898" spans="53:53" x14ac:dyDescent="0.25">
      <c r="BA898" t="s">
        <v>128</v>
      </c>
    </row>
    <row r="899" spans="53:53" x14ac:dyDescent="0.25">
      <c r="BA899" t="s">
        <v>129</v>
      </c>
    </row>
    <row r="900" spans="53:53" x14ac:dyDescent="0.25">
      <c r="BA900" t="s">
        <v>130</v>
      </c>
    </row>
    <row r="901" spans="53:53" x14ac:dyDescent="0.25">
      <c r="BA901" t="s">
        <v>192</v>
      </c>
    </row>
    <row r="902" spans="53:53" x14ac:dyDescent="0.25">
      <c r="BA902" t="s">
        <v>132</v>
      </c>
    </row>
    <row r="903" spans="53:53" x14ac:dyDescent="0.25">
      <c r="BA903" t="s">
        <v>133</v>
      </c>
    </row>
    <row r="904" spans="53:53" x14ac:dyDescent="0.25">
      <c r="BA904" t="s">
        <v>134</v>
      </c>
    </row>
    <row r="905" spans="53:53" x14ac:dyDescent="0.25">
      <c r="BA905" t="s">
        <v>135</v>
      </c>
    </row>
    <row r="906" spans="53:53" x14ac:dyDescent="0.25">
      <c r="BA906" t="s">
        <v>136</v>
      </c>
    </row>
    <row r="907" spans="53:53" x14ac:dyDescent="0.25">
      <c r="BA907" t="s">
        <v>137</v>
      </c>
    </row>
    <row r="908" spans="53:53" x14ac:dyDescent="0.25">
      <c r="BA908" t="s">
        <v>138</v>
      </c>
    </row>
    <row r="909" spans="53:53" x14ac:dyDescent="0.25">
      <c r="BA909" t="s">
        <v>139</v>
      </c>
    </row>
    <row r="910" spans="53:53" x14ac:dyDescent="0.25">
      <c r="BA910" t="s">
        <v>140</v>
      </c>
    </row>
    <row r="911" spans="53:53" x14ac:dyDescent="0.25">
      <c r="BA911" t="s">
        <v>141</v>
      </c>
    </row>
    <row r="912" spans="53:53" x14ac:dyDescent="0.25">
      <c r="BA912" t="s">
        <v>142</v>
      </c>
    </row>
    <row r="913" spans="53:53" x14ac:dyDescent="0.25">
      <c r="BA913" t="s">
        <v>143</v>
      </c>
    </row>
    <row r="914" spans="53:53" x14ac:dyDescent="0.25">
      <c r="BA914" t="s">
        <v>144</v>
      </c>
    </row>
    <row r="915" spans="53:53" x14ac:dyDescent="0.25">
      <c r="BA915" t="s">
        <v>145</v>
      </c>
    </row>
    <row r="916" spans="53:53" x14ac:dyDescent="0.25">
      <c r="BA916" t="s">
        <v>146</v>
      </c>
    </row>
    <row r="917" spans="53:53" x14ac:dyDescent="0.25">
      <c r="BA917" t="s">
        <v>147</v>
      </c>
    </row>
    <row r="918" spans="53:53" x14ac:dyDescent="0.25">
      <c r="BA918" t="s">
        <v>148</v>
      </c>
    </row>
    <row r="919" spans="53:53" x14ac:dyDescent="0.25">
      <c r="BA919" t="s">
        <v>149</v>
      </c>
    </row>
    <row r="920" spans="53:53" x14ac:dyDescent="0.25">
      <c r="BA920" t="s">
        <v>150</v>
      </c>
    </row>
    <row r="921" spans="53:53" x14ac:dyDescent="0.25">
      <c r="BA921" t="s">
        <v>151</v>
      </c>
    </row>
    <row r="922" spans="53:53" x14ac:dyDescent="0.25">
      <c r="BA922" t="s">
        <v>808</v>
      </c>
    </row>
    <row r="923" spans="53:53" x14ac:dyDescent="0.25">
      <c r="BA923" t="s">
        <v>154</v>
      </c>
    </row>
    <row r="924" spans="53:53" x14ac:dyDescent="0.25">
      <c r="BA924" t="s">
        <v>157</v>
      </c>
    </row>
    <row r="925" spans="53:53" x14ac:dyDescent="0.25">
      <c r="BA925" t="s">
        <v>158</v>
      </c>
    </row>
    <row r="926" spans="53:53" x14ac:dyDescent="0.25">
      <c r="BA926" t="s">
        <v>159</v>
      </c>
    </row>
    <row r="927" spans="53:53" x14ac:dyDescent="0.25">
      <c r="BA927" t="s">
        <v>193</v>
      </c>
    </row>
    <row r="928" spans="53:53" x14ac:dyDescent="0.25">
      <c r="BA928" t="s">
        <v>194</v>
      </c>
    </row>
    <row r="929" spans="53:53" x14ac:dyDescent="0.25">
      <c r="BA929" t="s">
        <v>195</v>
      </c>
    </row>
    <row r="930" spans="53:53" x14ac:dyDescent="0.25">
      <c r="BA930" t="s">
        <v>280</v>
      </c>
    </row>
    <row r="931" spans="53:53" x14ac:dyDescent="0.25">
      <c r="BA931" t="s">
        <v>281</v>
      </c>
    </row>
    <row r="932" spans="53:53" x14ac:dyDescent="0.25">
      <c r="BA932" t="s">
        <v>282</v>
      </c>
    </row>
    <row r="933" spans="53:53" x14ac:dyDescent="0.25">
      <c r="BA933" t="s">
        <v>283</v>
      </c>
    </row>
    <row r="934" spans="53:53" x14ac:dyDescent="0.25">
      <c r="BA934" t="str">
        <f>CONCATENATE($BB$3,$C$2,"\\",$I$2,$BC$3)</f>
        <v>(command "_plot" "y" "model" "jpeg.pc5" "XGA (1024.00 x 768.00 Pixels)" "p" "n" "w" p1 p2 "fit" "c" "y" "rccdwg.ctb" "n" "a" "C:\Users\ktvr\Desktop\SLD\\SLD_TEST.jpg" "n" "y")</v>
      </c>
    </row>
    <row r="935" spans="53:53" x14ac:dyDescent="0.25">
      <c r="BA935" t="str">
        <f>CONCATENATE($BB$4,$C$2,"\\",$I$2,$BC$4)</f>
        <v>(command "_wblock" "C:\Users\ktvr\Desktop\SLD\\SLD_TEST.dwg" "" basepoint "all" "")</v>
      </c>
    </row>
    <row r="936" spans="53:53" x14ac:dyDescent="0.25">
      <c r="BA936" t="s">
        <v>809</v>
      </c>
    </row>
    <row r="1115" spans="53:58" x14ac:dyDescent="0.25">
      <c r="BF1115" t="str">
        <f>CONCATENATE($BB$3,$C$2,"\\",$I$2,$BC$3)</f>
        <v>(command "_plot" "y" "model" "jpeg.pc5" "XGA (1024.00 x 768.00 Pixels)" "p" "n" "w" p1 p2 "fit" "c" "y" "rccdwg.ctb" "n" "a" "C:\Users\ktvr\Desktop\SLD\\SLD_TEST.jpg" "n" "y")</v>
      </c>
    </row>
    <row r="1116" spans="53:58" x14ac:dyDescent="0.25">
      <c r="BF1116" t="str">
        <f>CONCATENATE($BB$4,$C$2,"\\",$I$2,$BC$4)</f>
        <v>(command "_wblock" "C:\Users\ktvr\Desktop\SLD\\SLD_TEST.dwg" "" basepoint "all" "")</v>
      </c>
    </row>
    <row r="1120" spans="53:58" x14ac:dyDescent="0.25">
      <c r="BA1120" t="str">
        <f>CONCATENATE("")</f>
        <v/>
      </c>
    </row>
  </sheetData>
  <mergeCells count="11">
    <mergeCell ref="A2:B2"/>
    <mergeCell ref="A3:B3"/>
    <mergeCell ref="A4:C4"/>
    <mergeCell ref="A5:C5"/>
    <mergeCell ref="C2:G2"/>
    <mergeCell ref="A123:AD123"/>
    <mergeCell ref="A101:AD101"/>
    <mergeCell ref="A142:AD142"/>
    <mergeCell ref="A79:C81"/>
    <mergeCell ref="A83:C85"/>
    <mergeCell ref="A87:C89"/>
  </mergeCells>
  <dataValidations count="2">
    <dataValidation type="list" allowBlank="1" showInputMessage="1" showErrorMessage="1" sqref="N3">
      <formula1>"1,2,3"</formula1>
    </dataValidation>
    <dataValidation type="list" allowBlank="1" showInputMessage="1" showErrorMessage="1" sqref="I8:I37">
      <formula1>"X,K"</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68" r:id="rId4" name="GENERATE">
          <controlPr defaultSize="0" autoLine="0" r:id="rId5">
            <anchor moveWithCells="1">
              <from>
                <xdr:col>12</xdr:col>
                <xdr:colOff>47625</xdr:colOff>
                <xdr:row>6</xdr:row>
                <xdr:rowOff>28575</xdr:rowOff>
              </from>
              <to>
                <xdr:col>13</xdr:col>
                <xdr:colOff>638175</xdr:colOff>
                <xdr:row>6</xdr:row>
                <xdr:rowOff>371475</xdr:rowOff>
              </to>
            </anchor>
          </controlPr>
        </control>
      </mc:Choice>
      <mc:Fallback>
        <control shapeId="1068" r:id="rId4" name="GENERATE"/>
      </mc:Fallback>
    </mc:AlternateContent>
    <mc:AlternateContent xmlns:mc="http://schemas.openxmlformats.org/markup-compatibility/2006">
      <mc:Choice Requires="x14">
        <control shapeId="1064" r:id="rId6" name="CommandButton30">
          <controlPr defaultSize="0" autoLine="0" r:id="rId7">
            <anchor moveWithCells="1">
              <from>
                <xdr:col>12</xdr:col>
                <xdr:colOff>38100</xdr:colOff>
                <xdr:row>36</xdr:row>
                <xdr:rowOff>0</xdr:rowOff>
              </from>
              <to>
                <xdr:col>12</xdr:col>
                <xdr:colOff>1362075</xdr:colOff>
                <xdr:row>36</xdr:row>
                <xdr:rowOff>228600</xdr:rowOff>
              </to>
            </anchor>
          </controlPr>
        </control>
      </mc:Choice>
      <mc:Fallback>
        <control shapeId="1064" r:id="rId6" name="CommandButton30"/>
      </mc:Fallback>
    </mc:AlternateContent>
    <mc:AlternateContent xmlns:mc="http://schemas.openxmlformats.org/markup-compatibility/2006">
      <mc:Choice Requires="x14">
        <control shapeId="1063" r:id="rId8" name="CommandButton29">
          <controlPr defaultSize="0" autoLine="0" r:id="rId9">
            <anchor moveWithCells="1">
              <from>
                <xdr:col>12</xdr:col>
                <xdr:colOff>38100</xdr:colOff>
                <xdr:row>35</xdr:row>
                <xdr:rowOff>0</xdr:rowOff>
              </from>
              <to>
                <xdr:col>12</xdr:col>
                <xdr:colOff>1362075</xdr:colOff>
                <xdr:row>35</xdr:row>
                <xdr:rowOff>228600</xdr:rowOff>
              </to>
            </anchor>
          </controlPr>
        </control>
      </mc:Choice>
      <mc:Fallback>
        <control shapeId="1063" r:id="rId8" name="CommandButton29"/>
      </mc:Fallback>
    </mc:AlternateContent>
    <mc:AlternateContent xmlns:mc="http://schemas.openxmlformats.org/markup-compatibility/2006">
      <mc:Choice Requires="x14">
        <control shapeId="1062" r:id="rId10" name="CommandButton28">
          <controlPr defaultSize="0" autoLine="0" r:id="rId11">
            <anchor moveWithCells="1">
              <from>
                <xdr:col>12</xdr:col>
                <xdr:colOff>38100</xdr:colOff>
                <xdr:row>34</xdr:row>
                <xdr:rowOff>0</xdr:rowOff>
              </from>
              <to>
                <xdr:col>12</xdr:col>
                <xdr:colOff>1362075</xdr:colOff>
                <xdr:row>34</xdr:row>
                <xdr:rowOff>228600</xdr:rowOff>
              </to>
            </anchor>
          </controlPr>
        </control>
      </mc:Choice>
      <mc:Fallback>
        <control shapeId="1062" r:id="rId10" name="CommandButton28"/>
      </mc:Fallback>
    </mc:AlternateContent>
    <mc:AlternateContent xmlns:mc="http://schemas.openxmlformats.org/markup-compatibility/2006">
      <mc:Choice Requires="x14">
        <control shapeId="1061" r:id="rId12" name="CommandButton27">
          <controlPr defaultSize="0" autoLine="0" r:id="rId13">
            <anchor moveWithCells="1">
              <from>
                <xdr:col>12</xdr:col>
                <xdr:colOff>38100</xdr:colOff>
                <xdr:row>33</xdr:row>
                <xdr:rowOff>0</xdr:rowOff>
              </from>
              <to>
                <xdr:col>12</xdr:col>
                <xdr:colOff>1362075</xdr:colOff>
                <xdr:row>33</xdr:row>
                <xdr:rowOff>228600</xdr:rowOff>
              </to>
            </anchor>
          </controlPr>
        </control>
      </mc:Choice>
      <mc:Fallback>
        <control shapeId="1061" r:id="rId12" name="CommandButton27"/>
      </mc:Fallback>
    </mc:AlternateContent>
    <mc:AlternateContent xmlns:mc="http://schemas.openxmlformats.org/markup-compatibility/2006">
      <mc:Choice Requires="x14">
        <control shapeId="1060" r:id="rId14" name="CommandButton26">
          <controlPr defaultSize="0" autoLine="0" r:id="rId15">
            <anchor moveWithCells="1">
              <from>
                <xdr:col>12</xdr:col>
                <xdr:colOff>38100</xdr:colOff>
                <xdr:row>32</xdr:row>
                <xdr:rowOff>0</xdr:rowOff>
              </from>
              <to>
                <xdr:col>12</xdr:col>
                <xdr:colOff>1362075</xdr:colOff>
                <xdr:row>32</xdr:row>
                <xdr:rowOff>228600</xdr:rowOff>
              </to>
            </anchor>
          </controlPr>
        </control>
      </mc:Choice>
      <mc:Fallback>
        <control shapeId="1060" r:id="rId14" name="CommandButton26"/>
      </mc:Fallback>
    </mc:AlternateContent>
    <mc:AlternateContent xmlns:mc="http://schemas.openxmlformats.org/markup-compatibility/2006">
      <mc:Choice Requires="x14">
        <control shapeId="1059" r:id="rId16" name="CommandButton25">
          <controlPr defaultSize="0" autoLine="0" r:id="rId17">
            <anchor moveWithCells="1">
              <from>
                <xdr:col>12</xdr:col>
                <xdr:colOff>38100</xdr:colOff>
                <xdr:row>31</xdr:row>
                <xdr:rowOff>0</xdr:rowOff>
              </from>
              <to>
                <xdr:col>12</xdr:col>
                <xdr:colOff>1362075</xdr:colOff>
                <xdr:row>31</xdr:row>
                <xdr:rowOff>228600</xdr:rowOff>
              </to>
            </anchor>
          </controlPr>
        </control>
      </mc:Choice>
      <mc:Fallback>
        <control shapeId="1059" r:id="rId16" name="CommandButton25"/>
      </mc:Fallback>
    </mc:AlternateContent>
    <mc:AlternateContent xmlns:mc="http://schemas.openxmlformats.org/markup-compatibility/2006">
      <mc:Choice Requires="x14">
        <control shapeId="1058" r:id="rId18" name="CommandButton24">
          <controlPr defaultSize="0" autoLine="0" r:id="rId19">
            <anchor moveWithCells="1">
              <from>
                <xdr:col>12</xdr:col>
                <xdr:colOff>38100</xdr:colOff>
                <xdr:row>30</xdr:row>
                <xdr:rowOff>0</xdr:rowOff>
              </from>
              <to>
                <xdr:col>12</xdr:col>
                <xdr:colOff>1362075</xdr:colOff>
                <xdr:row>30</xdr:row>
                <xdr:rowOff>228600</xdr:rowOff>
              </to>
            </anchor>
          </controlPr>
        </control>
      </mc:Choice>
      <mc:Fallback>
        <control shapeId="1058" r:id="rId18" name="CommandButton24"/>
      </mc:Fallback>
    </mc:AlternateContent>
    <mc:AlternateContent xmlns:mc="http://schemas.openxmlformats.org/markup-compatibility/2006">
      <mc:Choice Requires="x14">
        <control shapeId="1057" r:id="rId20" name="CommandButton23">
          <controlPr defaultSize="0" autoLine="0" r:id="rId21">
            <anchor moveWithCells="1">
              <from>
                <xdr:col>12</xdr:col>
                <xdr:colOff>38100</xdr:colOff>
                <xdr:row>29</xdr:row>
                <xdr:rowOff>0</xdr:rowOff>
              </from>
              <to>
                <xdr:col>12</xdr:col>
                <xdr:colOff>1362075</xdr:colOff>
                <xdr:row>29</xdr:row>
                <xdr:rowOff>228600</xdr:rowOff>
              </to>
            </anchor>
          </controlPr>
        </control>
      </mc:Choice>
      <mc:Fallback>
        <control shapeId="1057" r:id="rId20" name="CommandButton23"/>
      </mc:Fallback>
    </mc:AlternateContent>
    <mc:AlternateContent xmlns:mc="http://schemas.openxmlformats.org/markup-compatibility/2006">
      <mc:Choice Requires="x14">
        <control shapeId="1056" r:id="rId22" name="CommandButton22">
          <controlPr defaultSize="0" autoLine="0" r:id="rId23">
            <anchor moveWithCells="1">
              <from>
                <xdr:col>12</xdr:col>
                <xdr:colOff>38100</xdr:colOff>
                <xdr:row>28</xdr:row>
                <xdr:rowOff>9525</xdr:rowOff>
              </from>
              <to>
                <xdr:col>12</xdr:col>
                <xdr:colOff>1362075</xdr:colOff>
                <xdr:row>28</xdr:row>
                <xdr:rowOff>238125</xdr:rowOff>
              </to>
            </anchor>
          </controlPr>
        </control>
      </mc:Choice>
      <mc:Fallback>
        <control shapeId="1056" r:id="rId22" name="CommandButton22"/>
      </mc:Fallback>
    </mc:AlternateContent>
    <mc:AlternateContent xmlns:mc="http://schemas.openxmlformats.org/markup-compatibility/2006">
      <mc:Choice Requires="x14">
        <control shapeId="1055" r:id="rId24" name="CommandButton21">
          <controlPr defaultSize="0" autoLine="0" r:id="rId25">
            <anchor moveWithCells="1">
              <from>
                <xdr:col>12</xdr:col>
                <xdr:colOff>38100</xdr:colOff>
                <xdr:row>27</xdr:row>
                <xdr:rowOff>19050</xdr:rowOff>
              </from>
              <to>
                <xdr:col>12</xdr:col>
                <xdr:colOff>1362075</xdr:colOff>
                <xdr:row>27</xdr:row>
                <xdr:rowOff>247650</xdr:rowOff>
              </to>
            </anchor>
          </controlPr>
        </control>
      </mc:Choice>
      <mc:Fallback>
        <control shapeId="1055" r:id="rId24" name="CommandButton21"/>
      </mc:Fallback>
    </mc:AlternateContent>
    <mc:AlternateContent xmlns:mc="http://schemas.openxmlformats.org/markup-compatibility/2006">
      <mc:Choice Requires="x14">
        <control shapeId="1054" r:id="rId26" name="CommandButton20">
          <controlPr defaultSize="0" autoLine="0" r:id="rId27">
            <anchor moveWithCells="1">
              <from>
                <xdr:col>12</xdr:col>
                <xdr:colOff>38100</xdr:colOff>
                <xdr:row>26</xdr:row>
                <xdr:rowOff>28575</xdr:rowOff>
              </from>
              <to>
                <xdr:col>12</xdr:col>
                <xdr:colOff>1362075</xdr:colOff>
                <xdr:row>27</xdr:row>
                <xdr:rowOff>0</xdr:rowOff>
              </to>
            </anchor>
          </controlPr>
        </control>
      </mc:Choice>
      <mc:Fallback>
        <control shapeId="1054" r:id="rId26" name="CommandButton20"/>
      </mc:Fallback>
    </mc:AlternateContent>
    <mc:AlternateContent xmlns:mc="http://schemas.openxmlformats.org/markup-compatibility/2006">
      <mc:Choice Requires="x14">
        <control shapeId="1053" r:id="rId28" name="CommandButton19">
          <controlPr defaultSize="0" autoLine="0" r:id="rId29">
            <anchor moveWithCells="1">
              <from>
                <xdr:col>12</xdr:col>
                <xdr:colOff>47625</xdr:colOff>
                <xdr:row>25</xdr:row>
                <xdr:rowOff>19050</xdr:rowOff>
              </from>
              <to>
                <xdr:col>12</xdr:col>
                <xdr:colOff>1371600</xdr:colOff>
                <xdr:row>25</xdr:row>
                <xdr:rowOff>247650</xdr:rowOff>
              </to>
            </anchor>
          </controlPr>
        </control>
      </mc:Choice>
      <mc:Fallback>
        <control shapeId="1053" r:id="rId28" name="CommandButton19"/>
      </mc:Fallback>
    </mc:AlternateContent>
    <mc:AlternateContent xmlns:mc="http://schemas.openxmlformats.org/markup-compatibility/2006">
      <mc:Choice Requires="x14">
        <control shapeId="1052" r:id="rId30" name="CommandButton18">
          <controlPr defaultSize="0" autoLine="0" r:id="rId31">
            <anchor moveWithCells="1">
              <from>
                <xdr:col>12</xdr:col>
                <xdr:colOff>47625</xdr:colOff>
                <xdr:row>24</xdr:row>
                <xdr:rowOff>19050</xdr:rowOff>
              </from>
              <to>
                <xdr:col>12</xdr:col>
                <xdr:colOff>1371600</xdr:colOff>
                <xdr:row>24</xdr:row>
                <xdr:rowOff>247650</xdr:rowOff>
              </to>
            </anchor>
          </controlPr>
        </control>
      </mc:Choice>
      <mc:Fallback>
        <control shapeId="1052" r:id="rId30" name="CommandButton18"/>
      </mc:Fallback>
    </mc:AlternateContent>
    <mc:AlternateContent xmlns:mc="http://schemas.openxmlformats.org/markup-compatibility/2006">
      <mc:Choice Requires="x14">
        <control shapeId="1051" r:id="rId32" name="CommandButton17">
          <controlPr defaultSize="0" autoLine="0" r:id="rId33">
            <anchor moveWithCells="1">
              <from>
                <xdr:col>12</xdr:col>
                <xdr:colOff>47625</xdr:colOff>
                <xdr:row>23</xdr:row>
                <xdr:rowOff>9525</xdr:rowOff>
              </from>
              <to>
                <xdr:col>12</xdr:col>
                <xdr:colOff>1371600</xdr:colOff>
                <xdr:row>23</xdr:row>
                <xdr:rowOff>238125</xdr:rowOff>
              </to>
            </anchor>
          </controlPr>
        </control>
      </mc:Choice>
      <mc:Fallback>
        <control shapeId="1051" r:id="rId32" name="CommandButton17"/>
      </mc:Fallback>
    </mc:AlternateContent>
    <mc:AlternateContent xmlns:mc="http://schemas.openxmlformats.org/markup-compatibility/2006">
      <mc:Choice Requires="x14">
        <control shapeId="1050" r:id="rId34" name="CommandButton16">
          <controlPr defaultSize="0" autoLine="0" r:id="rId35">
            <anchor moveWithCells="1">
              <from>
                <xdr:col>12</xdr:col>
                <xdr:colOff>47625</xdr:colOff>
                <xdr:row>22</xdr:row>
                <xdr:rowOff>9525</xdr:rowOff>
              </from>
              <to>
                <xdr:col>12</xdr:col>
                <xdr:colOff>1371600</xdr:colOff>
                <xdr:row>22</xdr:row>
                <xdr:rowOff>238125</xdr:rowOff>
              </to>
            </anchor>
          </controlPr>
        </control>
      </mc:Choice>
      <mc:Fallback>
        <control shapeId="1050" r:id="rId34" name="CommandButton16"/>
      </mc:Fallback>
    </mc:AlternateContent>
    <mc:AlternateContent xmlns:mc="http://schemas.openxmlformats.org/markup-compatibility/2006">
      <mc:Choice Requires="x14">
        <control shapeId="1049" r:id="rId36" name="CommandButton15">
          <controlPr defaultSize="0" autoLine="0" r:id="rId37">
            <anchor moveWithCells="1">
              <from>
                <xdr:col>12</xdr:col>
                <xdr:colOff>57150</xdr:colOff>
                <xdr:row>21</xdr:row>
                <xdr:rowOff>19050</xdr:rowOff>
              </from>
              <to>
                <xdr:col>12</xdr:col>
                <xdr:colOff>1381125</xdr:colOff>
                <xdr:row>21</xdr:row>
                <xdr:rowOff>247650</xdr:rowOff>
              </to>
            </anchor>
          </controlPr>
        </control>
      </mc:Choice>
      <mc:Fallback>
        <control shapeId="1049" r:id="rId36" name="CommandButton15"/>
      </mc:Fallback>
    </mc:AlternateContent>
    <mc:AlternateContent xmlns:mc="http://schemas.openxmlformats.org/markup-compatibility/2006">
      <mc:Choice Requires="x14">
        <control shapeId="1048" r:id="rId38" name="CommandButton14">
          <controlPr defaultSize="0" autoLine="0" r:id="rId39">
            <anchor moveWithCells="1">
              <from>
                <xdr:col>12</xdr:col>
                <xdr:colOff>57150</xdr:colOff>
                <xdr:row>20</xdr:row>
                <xdr:rowOff>19050</xdr:rowOff>
              </from>
              <to>
                <xdr:col>12</xdr:col>
                <xdr:colOff>1381125</xdr:colOff>
                <xdr:row>20</xdr:row>
                <xdr:rowOff>247650</xdr:rowOff>
              </to>
            </anchor>
          </controlPr>
        </control>
      </mc:Choice>
      <mc:Fallback>
        <control shapeId="1048" r:id="rId38" name="CommandButton14"/>
      </mc:Fallback>
    </mc:AlternateContent>
    <mc:AlternateContent xmlns:mc="http://schemas.openxmlformats.org/markup-compatibility/2006">
      <mc:Choice Requires="x14">
        <control shapeId="1047" r:id="rId40" name="CommandButton13">
          <controlPr defaultSize="0" autoLine="0" r:id="rId41">
            <anchor moveWithCells="1">
              <from>
                <xdr:col>12</xdr:col>
                <xdr:colOff>47625</xdr:colOff>
                <xdr:row>19</xdr:row>
                <xdr:rowOff>19050</xdr:rowOff>
              </from>
              <to>
                <xdr:col>12</xdr:col>
                <xdr:colOff>1371600</xdr:colOff>
                <xdr:row>19</xdr:row>
                <xdr:rowOff>247650</xdr:rowOff>
              </to>
            </anchor>
          </controlPr>
        </control>
      </mc:Choice>
      <mc:Fallback>
        <control shapeId="1047" r:id="rId40" name="CommandButton13"/>
      </mc:Fallback>
    </mc:AlternateContent>
    <mc:AlternateContent xmlns:mc="http://schemas.openxmlformats.org/markup-compatibility/2006">
      <mc:Choice Requires="x14">
        <control shapeId="1046" r:id="rId42" name="CommandButton12">
          <controlPr defaultSize="0" autoLine="0" r:id="rId43">
            <anchor moveWithCells="1">
              <from>
                <xdr:col>12</xdr:col>
                <xdr:colOff>47625</xdr:colOff>
                <xdr:row>18</xdr:row>
                <xdr:rowOff>9525</xdr:rowOff>
              </from>
              <to>
                <xdr:col>12</xdr:col>
                <xdr:colOff>1371600</xdr:colOff>
                <xdr:row>18</xdr:row>
                <xdr:rowOff>238125</xdr:rowOff>
              </to>
            </anchor>
          </controlPr>
        </control>
      </mc:Choice>
      <mc:Fallback>
        <control shapeId="1046" r:id="rId42" name="CommandButton12"/>
      </mc:Fallback>
    </mc:AlternateContent>
    <mc:AlternateContent xmlns:mc="http://schemas.openxmlformats.org/markup-compatibility/2006">
      <mc:Choice Requires="x14">
        <control shapeId="1045" r:id="rId44" name="CommandButton11">
          <controlPr defaultSize="0" autoLine="0" r:id="rId45">
            <anchor moveWithCells="1">
              <from>
                <xdr:col>12</xdr:col>
                <xdr:colOff>47625</xdr:colOff>
                <xdr:row>17</xdr:row>
                <xdr:rowOff>0</xdr:rowOff>
              </from>
              <to>
                <xdr:col>12</xdr:col>
                <xdr:colOff>1371600</xdr:colOff>
                <xdr:row>17</xdr:row>
                <xdr:rowOff>228600</xdr:rowOff>
              </to>
            </anchor>
          </controlPr>
        </control>
      </mc:Choice>
      <mc:Fallback>
        <control shapeId="1045" r:id="rId44" name="CommandButton11"/>
      </mc:Fallback>
    </mc:AlternateContent>
    <mc:AlternateContent xmlns:mc="http://schemas.openxmlformats.org/markup-compatibility/2006">
      <mc:Choice Requires="x14">
        <control shapeId="1044" r:id="rId46" name="CommandButton10">
          <controlPr defaultSize="0" autoLine="0" r:id="rId47">
            <anchor moveWithCells="1">
              <from>
                <xdr:col>12</xdr:col>
                <xdr:colOff>47625</xdr:colOff>
                <xdr:row>16</xdr:row>
                <xdr:rowOff>0</xdr:rowOff>
              </from>
              <to>
                <xdr:col>12</xdr:col>
                <xdr:colOff>1371600</xdr:colOff>
                <xdr:row>16</xdr:row>
                <xdr:rowOff>228600</xdr:rowOff>
              </to>
            </anchor>
          </controlPr>
        </control>
      </mc:Choice>
      <mc:Fallback>
        <control shapeId="1044" r:id="rId46" name="CommandButton10"/>
      </mc:Fallback>
    </mc:AlternateContent>
    <mc:AlternateContent xmlns:mc="http://schemas.openxmlformats.org/markup-compatibility/2006">
      <mc:Choice Requires="x14">
        <control shapeId="1043" r:id="rId48" name="CommandButton9">
          <controlPr defaultSize="0" autoLine="0" r:id="rId49">
            <anchor moveWithCells="1">
              <from>
                <xdr:col>12</xdr:col>
                <xdr:colOff>57150</xdr:colOff>
                <xdr:row>15</xdr:row>
                <xdr:rowOff>9525</xdr:rowOff>
              </from>
              <to>
                <xdr:col>12</xdr:col>
                <xdr:colOff>1381125</xdr:colOff>
                <xdr:row>15</xdr:row>
                <xdr:rowOff>238125</xdr:rowOff>
              </to>
            </anchor>
          </controlPr>
        </control>
      </mc:Choice>
      <mc:Fallback>
        <control shapeId="1043" r:id="rId48" name="CommandButton9"/>
      </mc:Fallback>
    </mc:AlternateContent>
    <mc:AlternateContent xmlns:mc="http://schemas.openxmlformats.org/markup-compatibility/2006">
      <mc:Choice Requires="x14">
        <control shapeId="1042" r:id="rId50" name="CommandButton8">
          <controlPr defaultSize="0" autoLine="0" r:id="rId51">
            <anchor moveWithCells="1">
              <from>
                <xdr:col>12</xdr:col>
                <xdr:colOff>57150</xdr:colOff>
                <xdr:row>14</xdr:row>
                <xdr:rowOff>9525</xdr:rowOff>
              </from>
              <to>
                <xdr:col>12</xdr:col>
                <xdr:colOff>1381125</xdr:colOff>
                <xdr:row>14</xdr:row>
                <xdr:rowOff>238125</xdr:rowOff>
              </to>
            </anchor>
          </controlPr>
        </control>
      </mc:Choice>
      <mc:Fallback>
        <control shapeId="1042" r:id="rId50" name="CommandButton8"/>
      </mc:Fallback>
    </mc:AlternateContent>
    <mc:AlternateContent xmlns:mc="http://schemas.openxmlformats.org/markup-compatibility/2006">
      <mc:Choice Requires="x14">
        <control shapeId="1041" r:id="rId52" name="CommandButton7">
          <controlPr defaultSize="0" autoLine="0" r:id="rId53">
            <anchor moveWithCells="1">
              <from>
                <xdr:col>12</xdr:col>
                <xdr:colOff>57150</xdr:colOff>
                <xdr:row>13</xdr:row>
                <xdr:rowOff>9525</xdr:rowOff>
              </from>
              <to>
                <xdr:col>12</xdr:col>
                <xdr:colOff>1381125</xdr:colOff>
                <xdr:row>13</xdr:row>
                <xdr:rowOff>238125</xdr:rowOff>
              </to>
            </anchor>
          </controlPr>
        </control>
      </mc:Choice>
      <mc:Fallback>
        <control shapeId="1041" r:id="rId52" name="CommandButton7"/>
      </mc:Fallback>
    </mc:AlternateContent>
    <mc:AlternateContent xmlns:mc="http://schemas.openxmlformats.org/markup-compatibility/2006">
      <mc:Choice Requires="x14">
        <control shapeId="1040" r:id="rId54" name="CommandButton6">
          <controlPr defaultSize="0" autoLine="0" r:id="rId55">
            <anchor moveWithCells="1">
              <from>
                <xdr:col>12</xdr:col>
                <xdr:colOff>47625</xdr:colOff>
                <xdr:row>12</xdr:row>
                <xdr:rowOff>9525</xdr:rowOff>
              </from>
              <to>
                <xdr:col>12</xdr:col>
                <xdr:colOff>1371600</xdr:colOff>
                <xdr:row>12</xdr:row>
                <xdr:rowOff>238125</xdr:rowOff>
              </to>
            </anchor>
          </controlPr>
        </control>
      </mc:Choice>
      <mc:Fallback>
        <control shapeId="1040" r:id="rId54" name="CommandButton6"/>
      </mc:Fallback>
    </mc:AlternateContent>
    <mc:AlternateContent xmlns:mc="http://schemas.openxmlformats.org/markup-compatibility/2006">
      <mc:Choice Requires="x14">
        <control shapeId="1039" r:id="rId56" name="CommandButton5">
          <controlPr defaultSize="0" autoLine="0" r:id="rId57">
            <anchor moveWithCells="1">
              <from>
                <xdr:col>12</xdr:col>
                <xdr:colOff>47625</xdr:colOff>
                <xdr:row>11</xdr:row>
                <xdr:rowOff>9525</xdr:rowOff>
              </from>
              <to>
                <xdr:col>12</xdr:col>
                <xdr:colOff>1371600</xdr:colOff>
                <xdr:row>11</xdr:row>
                <xdr:rowOff>238125</xdr:rowOff>
              </to>
            </anchor>
          </controlPr>
        </control>
      </mc:Choice>
      <mc:Fallback>
        <control shapeId="1039" r:id="rId56" name="CommandButton5"/>
      </mc:Fallback>
    </mc:AlternateContent>
    <mc:AlternateContent xmlns:mc="http://schemas.openxmlformats.org/markup-compatibility/2006">
      <mc:Choice Requires="x14">
        <control shapeId="1038" r:id="rId58" name="CommandButton4">
          <controlPr defaultSize="0" autoLine="0" r:id="rId59">
            <anchor moveWithCells="1">
              <from>
                <xdr:col>12</xdr:col>
                <xdr:colOff>47625</xdr:colOff>
                <xdr:row>10</xdr:row>
                <xdr:rowOff>0</xdr:rowOff>
              </from>
              <to>
                <xdr:col>12</xdr:col>
                <xdr:colOff>1371600</xdr:colOff>
                <xdr:row>10</xdr:row>
                <xdr:rowOff>228600</xdr:rowOff>
              </to>
            </anchor>
          </controlPr>
        </control>
      </mc:Choice>
      <mc:Fallback>
        <control shapeId="1038" r:id="rId58" name="CommandButton4"/>
      </mc:Fallback>
    </mc:AlternateContent>
    <mc:AlternateContent xmlns:mc="http://schemas.openxmlformats.org/markup-compatibility/2006">
      <mc:Choice Requires="x14">
        <control shapeId="1037" r:id="rId60" name="CommandButton3">
          <controlPr defaultSize="0" autoLine="0" r:id="rId61">
            <anchor moveWithCells="1">
              <from>
                <xdr:col>12</xdr:col>
                <xdr:colOff>38100</xdr:colOff>
                <xdr:row>9</xdr:row>
                <xdr:rowOff>0</xdr:rowOff>
              </from>
              <to>
                <xdr:col>12</xdr:col>
                <xdr:colOff>1362075</xdr:colOff>
                <xdr:row>9</xdr:row>
                <xdr:rowOff>228600</xdr:rowOff>
              </to>
            </anchor>
          </controlPr>
        </control>
      </mc:Choice>
      <mc:Fallback>
        <control shapeId="1037" r:id="rId60" name="CommandButton3"/>
      </mc:Fallback>
    </mc:AlternateContent>
    <mc:AlternateContent xmlns:mc="http://schemas.openxmlformats.org/markup-compatibility/2006">
      <mc:Choice Requires="x14">
        <control shapeId="1036" r:id="rId62" name="CommandButton2">
          <controlPr defaultSize="0" autoLine="0" r:id="rId63">
            <anchor moveWithCells="1">
              <from>
                <xdr:col>12</xdr:col>
                <xdr:colOff>38100</xdr:colOff>
                <xdr:row>8</xdr:row>
                <xdr:rowOff>0</xdr:rowOff>
              </from>
              <to>
                <xdr:col>12</xdr:col>
                <xdr:colOff>1362075</xdr:colOff>
                <xdr:row>8</xdr:row>
                <xdr:rowOff>228600</xdr:rowOff>
              </to>
            </anchor>
          </controlPr>
        </control>
      </mc:Choice>
      <mc:Fallback>
        <control shapeId="1036" r:id="rId62" name="CommandButton2"/>
      </mc:Fallback>
    </mc:AlternateContent>
    <mc:AlternateContent xmlns:mc="http://schemas.openxmlformats.org/markup-compatibility/2006">
      <mc:Choice Requires="x14">
        <control shapeId="1033" r:id="rId64" name="CommandButton1">
          <controlPr defaultSize="0" autoLine="0" r:id="rId65">
            <anchor moveWithCells="1">
              <from>
                <xdr:col>12</xdr:col>
                <xdr:colOff>38100</xdr:colOff>
                <xdr:row>7</xdr:row>
                <xdr:rowOff>9525</xdr:rowOff>
              </from>
              <to>
                <xdr:col>12</xdr:col>
                <xdr:colOff>1362075</xdr:colOff>
                <xdr:row>7</xdr:row>
                <xdr:rowOff>238125</xdr:rowOff>
              </to>
            </anchor>
          </controlPr>
        </control>
      </mc:Choice>
      <mc:Fallback>
        <control shapeId="1033" r:id="rId6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88"/>
  <sheetViews>
    <sheetView workbookViewId="0">
      <selection activeCell="N98" sqref="N98"/>
    </sheetView>
  </sheetViews>
  <sheetFormatPr defaultRowHeight="15" x14ac:dyDescent="0.25"/>
  <sheetData>
    <row r="1" spans="1:1" x14ac:dyDescent="0.25">
      <c r="A1" t="s">
        <v>73</v>
      </c>
    </row>
    <row r="2" spans="1:1" x14ac:dyDescent="0.25">
      <c r="A2" t="s">
        <v>74</v>
      </c>
    </row>
    <row r="3" spans="1:1" x14ac:dyDescent="0.25">
      <c r="A3" t="s">
        <v>75</v>
      </c>
    </row>
    <row r="4" spans="1:1" x14ac:dyDescent="0.25">
      <c r="A4" t="s">
        <v>76</v>
      </c>
    </row>
    <row r="5" spans="1:1" x14ac:dyDescent="0.25">
      <c r="A5" t="s">
        <v>77</v>
      </c>
    </row>
    <row r="6" spans="1:1" x14ac:dyDescent="0.25">
      <c r="A6" t="s">
        <v>78</v>
      </c>
    </row>
    <row r="7" spans="1:1" x14ac:dyDescent="0.25">
      <c r="A7" t="s">
        <v>79</v>
      </c>
    </row>
    <row r="8" spans="1:1" x14ac:dyDescent="0.25">
      <c r="A8" t="s">
        <v>80</v>
      </c>
    </row>
    <row r="9" spans="1:1" x14ac:dyDescent="0.25">
      <c r="A9" t="s">
        <v>81</v>
      </c>
    </row>
    <row r="10" spans="1:1" x14ac:dyDescent="0.25">
      <c r="A10" t="s">
        <v>82</v>
      </c>
    </row>
    <row r="11" spans="1:1" x14ac:dyDescent="0.25">
      <c r="A11" t="s">
        <v>83</v>
      </c>
    </row>
    <row r="12" spans="1:1" x14ac:dyDescent="0.25">
      <c r="A12" t="s">
        <v>84</v>
      </c>
    </row>
    <row r="13" spans="1:1" x14ac:dyDescent="0.25">
      <c r="A13" t="s">
        <v>85</v>
      </c>
    </row>
    <row r="14" spans="1:1" x14ac:dyDescent="0.25">
      <c r="A14" t="s">
        <v>86</v>
      </c>
    </row>
    <row r="15" spans="1:1" x14ac:dyDescent="0.25">
      <c r="A15" t="s">
        <v>87</v>
      </c>
    </row>
    <row r="16" spans="1:1" x14ac:dyDescent="0.25">
      <c r="A16" t="s">
        <v>88</v>
      </c>
    </row>
    <row r="17" spans="1:1" x14ac:dyDescent="0.25">
      <c r="A17" t="s">
        <v>89</v>
      </c>
    </row>
    <row r="18" spans="1:1" x14ac:dyDescent="0.25">
      <c r="A18" t="s">
        <v>90</v>
      </c>
    </row>
    <row r="19" spans="1:1" x14ac:dyDescent="0.25">
      <c r="A19" t="s">
        <v>91</v>
      </c>
    </row>
    <row r="20" spans="1:1" x14ac:dyDescent="0.25">
      <c r="A20" t="s">
        <v>92</v>
      </c>
    </row>
    <row r="21" spans="1:1" x14ac:dyDescent="0.25">
      <c r="A21" t="s">
        <v>93</v>
      </c>
    </row>
    <row r="22" spans="1:1" x14ac:dyDescent="0.25">
      <c r="A22" t="s">
        <v>94</v>
      </c>
    </row>
    <row r="23" spans="1:1" x14ac:dyDescent="0.25">
      <c r="A23" t="s">
        <v>95</v>
      </c>
    </row>
    <row r="24" spans="1:1" x14ac:dyDescent="0.25">
      <c r="A24" t="s">
        <v>96</v>
      </c>
    </row>
    <row r="25" spans="1:1" x14ac:dyDescent="0.25">
      <c r="A25" t="s">
        <v>97</v>
      </c>
    </row>
    <row r="26" spans="1:1" x14ac:dyDescent="0.25">
      <c r="A26" t="s">
        <v>98</v>
      </c>
    </row>
    <row r="27" spans="1:1" x14ac:dyDescent="0.25">
      <c r="A27" t="s">
        <v>99</v>
      </c>
    </row>
    <row r="28" spans="1:1" x14ac:dyDescent="0.25">
      <c r="A28" t="s">
        <v>100</v>
      </c>
    </row>
    <row r="29" spans="1:1" x14ac:dyDescent="0.25">
      <c r="A29" t="s">
        <v>101</v>
      </c>
    </row>
    <row r="30" spans="1:1" x14ac:dyDescent="0.25">
      <c r="A30" t="s">
        <v>102</v>
      </c>
    </row>
    <row r="31" spans="1:1" x14ac:dyDescent="0.25">
      <c r="A31" t="s">
        <v>103</v>
      </c>
    </row>
    <row r="32" spans="1:1" x14ac:dyDescent="0.25">
      <c r="A32" t="s">
        <v>104</v>
      </c>
    </row>
    <row r="33" spans="1:1" x14ac:dyDescent="0.25">
      <c r="A33" t="s">
        <v>105</v>
      </c>
    </row>
    <row r="34" spans="1:1" x14ac:dyDescent="0.25">
      <c r="A34" t="s">
        <v>106</v>
      </c>
    </row>
    <row r="35" spans="1:1" x14ac:dyDescent="0.25">
      <c r="A35" t="s">
        <v>107</v>
      </c>
    </row>
    <row r="36" spans="1:1" x14ac:dyDescent="0.25">
      <c r="A36" t="s">
        <v>156</v>
      </c>
    </row>
    <row r="37" spans="1:1" x14ac:dyDescent="0.25">
      <c r="A37" t="s">
        <v>108</v>
      </c>
    </row>
    <row r="38" spans="1:1" x14ac:dyDescent="0.25">
      <c r="A38" t="s">
        <v>109</v>
      </c>
    </row>
    <row r="39" spans="1:1" x14ac:dyDescent="0.25">
      <c r="A39" t="s">
        <v>110</v>
      </c>
    </row>
    <row r="40" spans="1:1" x14ac:dyDescent="0.25">
      <c r="A40" t="s">
        <v>111</v>
      </c>
    </row>
    <row r="41" spans="1:1" x14ac:dyDescent="0.25">
      <c r="A41" t="s">
        <v>112</v>
      </c>
    </row>
    <row r="42" spans="1:1" x14ac:dyDescent="0.25">
      <c r="A42" t="s">
        <v>113</v>
      </c>
    </row>
    <row r="43" spans="1:1" x14ac:dyDescent="0.25">
      <c r="A43" t="s">
        <v>114</v>
      </c>
    </row>
    <row r="44" spans="1:1" x14ac:dyDescent="0.25">
      <c r="A44" t="s">
        <v>115</v>
      </c>
    </row>
    <row r="45" spans="1:1" x14ac:dyDescent="0.25">
      <c r="A45" t="s">
        <v>116</v>
      </c>
    </row>
    <row r="46" spans="1:1" x14ac:dyDescent="0.25">
      <c r="A46" t="s">
        <v>117</v>
      </c>
    </row>
    <row r="47" spans="1:1" x14ac:dyDescent="0.25">
      <c r="A47" t="s">
        <v>118</v>
      </c>
    </row>
    <row r="48" spans="1:1" x14ac:dyDescent="0.25">
      <c r="A48" t="s">
        <v>119</v>
      </c>
    </row>
    <row r="49" spans="1:1" x14ac:dyDescent="0.25">
      <c r="A49" t="s">
        <v>120</v>
      </c>
    </row>
    <row r="50" spans="1:1" ht="14.25" customHeight="1" x14ac:dyDescent="0.25">
      <c r="A50" t="s">
        <v>121</v>
      </c>
    </row>
    <row r="51" spans="1:1" x14ac:dyDescent="0.25">
      <c r="A51" t="s">
        <v>122</v>
      </c>
    </row>
    <row r="52" spans="1:1" x14ac:dyDescent="0.25">
      <c r="A52" t="s">
        <v>123</v>
      </c>
    </row>
    <row r="53" spans="1:1" x14ac:dyDescent="0.25">
      <c r="A53" t="s">
        <v>124</v>
      </c>
    </row>
    <row r="54" spans="1:1" x14ac:dyDescent="0.25">
      <c r="A54" t="s">
        <v>125</v>
      </c>
    </row>
    <row r="55" spans="1:1" x14ac:dyDescent="0.25">
      <c r="A55" t="s">
        <v>126</v>
      </c>
    </row>
    <row r="56" spans="1:1" x14ac:dyDescent="0.25">
      <c r="A56" t="s">
        <v>127</v>
      </c>
    </row>
    <row r="57" spans="1:1" x14ac:dyDescent="0.25">
      <c r="A57" t="s">
        <v>128</v>
      </c>
    </row>
    <row r="58" spans="1:1" x14ac:dyDescent="0.25">
      <c r="A58" t="s">
        <v>129</v>
      </c>
    </row>
    <row r="59" spans="1:1" x14ac:dyDescent="0.25">
      <c r="A59" t="s">
        <v>130</v>
      </c>
    </row>
    <row r="60" spans="1:1" x14ac:dyDescent="0.25">
      <c r="A60" t="s">
        <v>131</v>
      </c>
    </row>
    <row r="61" spans="1:1" x14ac:dyDescent="0.25">
      <c r="A61" t="s">
        <v>132</v>
      </c>
    </row>
    <row r="62" spans="1:1" x14ac:dyDescent="0.25">
      <c r="A62" t="s">
        <v>133</v>
      </c>
    </row>
    <row r="63" spans="1:1" x14ac:dyDescent="0.25">
      <c r="A63" t="s">
        <v>134</v>
      </c>
    </row>
    <row r="64" spans="1:1" x14ac:dyDescent="0.25">
      <c r="A64" t="s">
        <v>135</v>
      </c>
    </row>
    <row r="65" spans="1:1" x14ac:dyDescent="0.25">
      <c r="A65" t="s">
        <v>136</v>
      </c>
    </row>
    <row r="66" spans="1:1" x14ac:dyDescent="0.25">
      <c r="A66" t="s">
        <v>137</v>
      </c>
    </row>
    <row r="67" spans="1:1" x14ac:dyDescent="0.25">
      <c r="A67" t="s">
        <v>138</v>
      </c>
    </row>
    <row r="68" spans="1:1" x14ac:dyDescent="0.25">
      <c r="A68" t="s">
        <v>139</v>
      </c>
    </row>
    <row r="69" spans="1:1" x14ac:dyDescent="0.25">
      <c r="A69" t="s">
        <v>140</v>
      </c>
    </row>
    <row r="70" spans="1:1" x14ac:dyDescent="0.25">
      <c r="A70" t="s">
        <v>141</v>
      </c>
    </row>
    <row r="71" spans="1:1" x14ac:dyDescent="0.25">
      <c r="A71" t="s">
        <v>142</v>
      </c>
    </row>
    <row r="72" spans="1:1" x14ac:dyDescent="0.25">
      <c r="A72" t="s">
        <v>143</v>
      </c>
    </row>
    <row r="73" spans="1:1" x14ac:dyDescent="0.25">
      <c r="A73" t="s">
        <v>144</v>
      </c>
    </row>
    <row r="74" spans="1:1" x14ac:dyDescent="0.25">
      <c r="A74" t="s">
        <v>145</v>
      </c>
    </row>
    <row r="75" spans="1:1" x14ac:dyDescent="0.25">
      <c r="A75" t="s">
        <v>146</v>
      </c>
    </row>
    <row r="76" spans="1:1" x14ac:dyDescent="0.25">
      <c r="A76" t="s">
        <v>147</v>
      </c>
    </row>
    <row r="77" spans="1:1" x14ac:dyDescent="0.25">
      <c r="A77" t="s">
        <v>148</v>
      </c>
    </row>
    <row r="78" spans="1:1" x14ac:dyDescent="0.25">
      <c r="A78" t="s">
        <v>149</v>
      </c>
    </row>
    <row r="79" spans="1:1" x14ac:dyDescent="0.25">
      <c r="A79" t="s">
        <v>150</v>
      </c>
    </row>
    <row r="80" spans="1:1" x14ac:dyDescent="0.25">
      <c r="A80" t="s">
        <v>151</v>
      </c>
    </row>
    <row r="81" spans="1:1" x14ac:dyDescent="0.25">
      <c r="A81" t="s">
        <v>152</v>
      </c>
    </row>
    <row r="82" spans="1:1" x14ac:dyDescent="0.25">
      <c r="A82" t="s">
        <v>153</v>
      </c>
    </row>
    <row r="83" spans="1:1" x14ac:dyDescent="0.25">
      <c r="A83" t="s">
        <v>154</v>
      </c>
    </row>
    <row r="84" spans="1:1" x14ac:dyDescent="0.25">
      <c r="A84" t="s">
        <v>157</v>
      </c>
    </row>
    <row r="85" spans="1:1" x14ac:dyDescent="0.25">
      <c r="A85" t="s">
        <v>158</v>
      </c>
    </row>
    <row r="86" spans="1:1" x14ac:dyDescent="0.25">
      <c r="A86" t="s">
        <v>159</v>
      </c>
    </row>
    <row r="87" spans="1:1" x14ac:dyDescent="0.25">
      <c r="A87" t="s">
        <v>160</v>
      </c>
    </row>
    <row r="88" spans="1:1" x14ac:dyDescent="0.25">
      <c r="A88"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Sheet2</vt:lpstr>
      <vt:lpstr>PTT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kode nagabalaji</dc:creator>
  <cp:lastModifiedBy>K T Venkateswararao</cp:lastModifiedBy>
  <dcterms:created xsi:type="dcterms:W3CDTF">2017-05-26T20:30:10Z</dcterms:created>
  <dcterms:modified xsi:type="dcterms:W3CDTF">2017-06-09T15:24:05Z</dcterms:modified>
</cp:coreProperties>
</file>